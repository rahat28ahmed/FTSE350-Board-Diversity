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AD_ME" sheetId="1" state="visible" r:id="rId3"/>
    <sheet name="1_Search_Log" sheetId="2" state="visible" r:id="rId4"/>
    <sheet name="2_Dedup" sheetId="3" state="visible" r:id="rId5"/>
    <sheet name="3_TitleAbstract" sheetId="4" state="visible" r:id="rId6"/>
    <sheet name="4_FullText" sheetId="5" state="visible" r:id="rId7"/>
    <sheet name="5_Other_Methods" sheetId="6" state="visible" r:id="rId8"/>
    <sheet name="6_PRISMA_Counts" sheetId="7" state="visible" r:id="rId9"/>
    <sheet name="7_Reconciliation" sheetId="8" state="visible" r:id="rId10"/>
    <sheet name="8_File_Manifest"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<sst xmlns="http://schemas.openxmlformats.org/spreadsheetml/2006/main" count="444" uniqueCount="318">
  <si>
    <t xml:space="preserve">PRISMA 2020 Search Log</t>
  </si>
  <si>
    <t xml:space="preserve">Board Diversity Beyond the Aggregate: A Multi-Level Analysis of FTSE 350 Firms, 2019-2024</t>
  </si>
  <si>
    <t xml:space="preserve">Rahat Ahmed Bhuiyan  |  Student ID 001481781  |  BUSI 1783  |  University of Greenwich</t>
  </si>
  <si>
    <t xml:space="preserve">This workbook is the audit trail for the systematic review reported in Section 2.1, Figure 2.1 and</t>
  </si>
  <si>
    <t xml:space="preserve">Appendix D of the dissertation. Every count in those places is reproduced here, and every count here</t>
  </si>
  <si>
    <t xml:space="preserve">is derived from a file in the accompanying evidence folders.</t>
  </si>
  <si>
    <t xml:space="preserve">SHEETS</t>
  </si>
  <si>
    <t xml:space="preserve">   1_Search_Log        One row per database per Boolean string, as executed.</t>
  </si>
  <si>
    <t xml:space="preserve">   2_Dedup             De-duplication result and the basis on which each match was made.</t>
  </si>
  <si>
    <t xml:space="preserve">   3_TitleAbstract     Title/abstract screening: what was excluded and why.</t>
  </si>
  <si>
    <t xml:space="preserve">   4_FullText          Full-text eligibility assessment: what was excluded and why.</t>
  </si>
  <si>
    <t xml:space="preserve">   5_Other_Methods     Sources entering via citation tracking and the regulatory corpus.</t>
  </si>
  <si>
    <t xml:space="preserve">   6_PRISMA_Counts     The twelve PRISMA 2020 flow numbers, with arithmetic sanity checks.</t>
  </si>
  <si>
    <t xml:space="preserve">   7_Reconciliation    Every numeric claim in Section 2.1 and Appendix D checked against this log.</t>
  </si>
  <si>
    <t xml:space="preserve">   8_File_Manifest     Every accompanying file, its row count and its PRISMA stage.</t>
  </si>
  <si>
    <t xml:space="preserve">ACCOMPANYING FOLDERS</t>
  </si>
  <si>
    <t xml:space="preserve">   02_raw_exports/       16 unedited database exports, 2,313 records in total</t>
  </si>
  <si>
    <t xml:space="preserve">   03_processing_logs/   6 files carrying each record through de-duplication, screening and eligibility</t>
  </si>
  <si>
    <t xml:space="preserve">PROTOCOL DEVIATION</t>
  </si>
  <si>
    <t xml:space="preserve">   Web of Science was planned. Institutional access provided no document search, so Business</t>
  </si>
  <si>
    <t xml:space="preserve">   Source Premier (EBSCOhost) was substituted. Both Boolean strings were held constant across</t>
  </si>
  <si>
    <t xml:space="preserve">   the substitution.</t>
  </si>
  <si>
    <t xml:space="preserve">Sheet 1 - Searches as executed</t>
  </si>
  <si>
    <t xml:space="preserve">Searches were executed 18-20 July 2026. The date window was set to 1980-2024 in every database except Scopus, where PUBYEAR limits were applied. Scopus and Publish or Perish strings are reproduced as the interface displayed them, including Scopus's spacing and its wrapping of each LIMIT-TO clause; EBSCOhost strings as typed into the search box. The JSTOR rows give both the two-row advanced-search form as entered and JSTOR's rendering of it.</t>
  </si>
  <si>
    <t xml:space="preserve">Date run</t>
  </si>
  <si>
    <t xml:space="preserve">Database</t>
  </si>
  <si>
    <t xml:space="preserve">String</t>
  </si>
  <si>
    <t xml:space="preserve">Exact string as entered</t>
  </si>
  <si>
    <t xml:space="preserve">Fields searched</t>
  </si>
  <si>
    <t xml:space="preserve">Filters / limits applied</t>
  </si>
  <si>
    <t xml:space="preserve">Records</t>
  </si>
  <si>
    <t xml:space="preserve">Export file (02_raw_exports/)</t>
  </si>
  <si>
    <t xml:space="preserve">Notes</t>
  </si>
  <si>
    <t xml:space="preserve">2026-07-18</t>
  </si>
  <si>
    <t xml:space="preserve">Scopus</t>
  </si>
  <si>
    <t xml:space="preserve">TITLE ( ( "board diversity" OR "gender diversity" OR "female director*" OR "women on boards" ) AND ( "corporate governance" OR board* ) ) AND ( LIMIT-TO ( LANGUAGE , "English" ) ) AND ( LIMIT-TO ( DOCTYPE , "ar" ) ) AND ( LIMIT-TO ( SUBJAREA , "BUSI" ) ) AND PUBYEAR &gt; 1992 AND PUBYEAR &lt; 2025</t>
  </si>
  <si>
    <t xml:space="preserve">Title</t>
  </si>
  <si>
    <t xml:space="preserve">English; Article; Business, Management and Accounting; PUBYEAR &gt; 1992 and &lt; 2025 (1993-2024)</t>
  </si>
  <si>
    <t xml:space="preserve">scopus_string1_2026-07-18.ris</t>
  </si>
  <si>
    <t xml:space="preserve">TITLE-ABS-KEY ( ( "interlocking directorate*" OR "director network*" OR "board interlock*" ) AND ( "corporate governance" OR diversity ) ) AND ( LIMIT-TO ( SUBJAREA , "BUSI" ) ) AND ( LIMIT-TO ( DOCTYPE , "ar" ) ) AND ( LIMIT-TO ( LANGUAGE , "English" ) ) AND PUBYEAR &gt; 1993 AND PUBYEAR &lt; 2025</t>
  </si>
  <si>
    <t xml:space="preserve">Title/Abstract/Keywords</t>
  </si>
  <si>
    <t xml:space="preserve">English; Article; Business, Management and Accounting; PUBYEAR &gt; 1993 and &lt; 2025 (1994-2024)</t>
  </si>
  <si>
    <t xml:space="preserve">scopus_string2_2026-07-18.ris</t>
  </si>
  <si>
    <t xml:space="preserve">2026-07-19</t>
  </si>
  <si>
    <t xml:space="preserve">Business Source Premier (EBSCOhost)</t>
  </si>
  <si>
    <t xml:space="preserve">TI ("board diversity" OR "gender diversity" OR "female director*" OR "women on boards") AND TI ("corporate governance" OR board*)</t>
  </si>
  <si>
    <t xml:space="preserve">Academic Journals; English; Peer Reviewed; 01/01/1980-12/31/2024</t>
  </si>
  <si>
    <t xml:space="preserve">ebsco_string1_p1-10.bib; ebsco_string1_p11.bib; ebsco_string1_p12.bib; ebsco_string1_p13.bib; ebsco_string1_p14.bib; ebsco_string1_p15.bib; ebsco_string1_p16.bib</t>
  </si>
  <si>
    <t xml:space="preserve">An abstract-level run of this string returned 2,033 records after filters; tightened to title-only for consistency with Scopus string 1.</t>
  </si>
  <si>
    <t xml:space="preserve">AB ("interlocking directorate*" OR "director network*" OR "board interlock*") AND AB ("corporate governance" OR diversity)</t>
  </si>
  <si>
    <t xml:space="preserve">Abstract</t>
  </si>
  <si>
    <t xml:space="preserve">ebsco_string2_p1.bib; ebsco_string2_p2.bib</t>
  </si>
  <si>
    <t xml:space="preserve">Run at abstract level: the interlock literature is small, consistent with Scopus string 2.</t>
  </si>
  <si>
    <t xml:space="preserve">JSTOR</t>
  </si>
  <si>
    <t xml:space="preserve">Advanced search, as entered — Row 1: "board diversity" OR "gender diversity" OR "female director" OR "women on boards"  AND  Row 2: "corporate governance" OR board. JSTOR rendered this as: ((ti:"board diversity" OR "gender diversity" OR "female director" OR "women on boards") AND (ti:"corporate governance" OR board)), and the same on ab:</t>
  </si>
  <si>
    <t xml:space="preserve">Item Title and Abstract (union)</t>
  </si>
  <si>
    <t xml:space="preserve">Journals; English; 1980-2024</t>
  </si>
  <si>
    <t xml:space="preserve">jstor_string1_abstract_part1.ris; jstor_string1_title_part1.ris</t>
  </si>
  <si>
    <t xml:space="preserve">Run twice, once on item title (38 records) and once on abstract (110), giving 148. JSTOR notice: approximately 10% of articles carry abstracts. An all-fields run returned 2,012 records (full-text noise) and was not used.</t>
  </si>
  <si>
    <t xml:space="preserve">Advanced search, as entered — Row 1: "interlocking directorate" OR "interlocking directorates" OR "director network" OR "director networks" OR "board interlock" OR "board interlocks"  AND  Row 2: "corporate governance" OR diversity. JSTOR rendered this as: ((ab:"interlocking directorate" OR "interlocking directorates" OR "director network" OR "director networks" OR "board interlock" OR "board interlocks") AND (ab:"corporate governance" OR diversity))</t>
  </si>
  <si>
    <t xml:space="preserve">Abstract 8; item title 0</t>
  </si>
  <si>
    <t xml:space="preserve">jstor_string2_abstract.ris</t>
  </si>
  <si>
    <t xml:space="preserve">The abstract run returned 8 and the item-title run 0, consistent with terse titles under an AND condition and with the 10% abstract coverage. Only the abstract file was exported.</t>
  </si>
  <si>
    <t xml:space="preserve">2026-07-20</t>
  </si>
  <si>
    <t xml:space="preserve">Google Scholar (Publish or Perish)</t>
  </si>
  <si>
    <t xml:space="preserve">("board diversity" OR "gender diversity" OR "female director" OR "women on boards") AND ("corporate governance" OR board)</t>
  </si>
  <si>
    <t xml:space="preserve">Keywords (Scholar default)</t>
  </si>
  <si>
    <t xml:space="preserve">Years 1980-2024; maximum 200 by relevance; citations and patents excluded</t>
  </si>
  <si>
    <t xml:space="preserve">pop_string1.ris</t>
  </si>
  <si>
    <t xml:space="preserve">An exploratory run at the 1,000 maximum returned 995 records; the protocol cap of 200 was then applied and the search re-executed at the cap from the same-day cache.</t>
  </si>
  <si>
    <t xml:space="preserve">("interlocking directorates" OR "director networks" OR "board interlocks") AND ("corporate governance" OR diversity)</t>
  </si>
  <si>
    <t xml:space="preserve">pop_string2.ris</t>
  </si>
  <si>
    <t xml:space="preserve">Cap bound at 200 (Papers returned exactly 200). Search date and cache date both 20 July 2026.</t>
  </si>
  <si>
    <t xml:space="preserve">TOTAL RECORDS IDENTIFIED (databases)</t>
  </si>
  <si>
    <t xml:space="preserve">Sheet 2 - De-duplication</t>
  </si>
  <si>
    <t xml:space="preserve">Scripted matching on DOI, then on normalised title + year + first author. Ambiguous pairs were escalated to manual adjudication.</t>
  </si>
  <si>
    <t xml:space="preserve">Item</t>
  </si>
  <si>
    <t xml:space="preserve">Count</t>
  </si>
  <si>
    <t xml:space="preserve">Source file</t>
  </si>
  <si>
    <t xml:space="preserve">Title+Year+Author</t>
  </si>
  <si>
    <t xml:space="preserve">DOI</t>
  </si>
  <si>
    <t xml:space="preserve">Borderline manual review</t>
  </si>
  <si>
    <t xml:space="preserve">Title+Year (author absent/consistent)</t>
  </si>
  <si>
    <t xml:space="preserve">TOTAL duplicate records removed</t>
  </si>
  <si>
    <t xml:space="preserve">02_duplicates_removed_654.csv</t>
  </si>
  <si>
    <t xml:space="preserve">Borderline pairs adjudicated by hand</t>
  </si>
  <si>
    <t xml:space="preserve">03_borderline_decisions_37.csv</t>
  </si>
  <si>
    <t xml:space="preserve">   of which judged duplicate</t>
  </si>
  <si>
    <t xml:space="preserve">   of which judged distinct (both retained)</t>
  </si>
  <si>
    <t xml:space="preserve">Records identified from databases</t>
  </si>
  <si>
    <t xml:space="preserve">Less duplicates removed</t>
  </si>
  <si>
    <t xml:space="preserve">Records screened</t>
  </si>
  <si>
    <t xml:space="preserve">Sheet 3 - Title and abstract screening</t>
  </si>
  <si>
    <t xml:space="preserve">1,659 de-duplicated records were screened on title and abstract. Every decision and its reason is recorded at record level in 05_screening_decisions_1659.csv.</t>
  </si>
  <si>
    <t xml:space="preserve">Exclusion reason</t>
  </si>
  <si>
    <t xml:space="preserve">Non-OECD single-market focus</t>
  </si>
  <si>
    <t xml:space="preserve">Single-market study outside UK (non-foundational)</t>
  </si>
  <si>
    <t xml:space="preserve">Non-OECD single-market focus (abstract)</t>
  </si>
  <si>
    <t xml:space="preserve">Single-market study outside UK (abstract, non-foundational)</t>
  </si>
  <si>
    <t xml:space="preserve">Off-domain (not boards of listed/large firms)</t>
  </si>
  <si>
    <t xml:space="preserve">Non-peer-reviewed source type (book; foundational books enter via citation-tracking arm)</t>
  </si>
  <si>
    <t xml:space="preserve">Non-peer-reviewed source type</t>
  </si>
  <si>
    <t xml:space="preserve">Not board-focused (peripheral topic)</t>
  </si>
  <si>
    <t xml:space="preserve">Off-domain (abstract)</t>
  </si>
  <si>
    <t xml:space="preserve">TOTAL excluded at title/abstract</t>
  </si>
  <si>
    <t xml:space="preserve">Records kept - full text sought</t>
  </si>
  <si>
    <t xml:space="preserve">Sheet 4 - Full-text eligibility assessment</t>
  </si>
  <si>
    <t xml:space="preserve">955 reports were sought and assessed; none proved unobtainable. Every assessment is recorded at record level in 06_eligibility_assessments_955.csv.</t>
  </si>
  <si>
    <t xml:space="preserve">Reports</t>
  </si>
  <si>
    <t xml:space="preserve">Outcome peripheral to the four synthesis themes</t>
  </si>
  <si>
    <t xml:space="preserve">Did not directly inform the synthesis themes</t>
  </si>
  <si>
    <t xml:space="preserve">Duplicative of retained meta-analytic and review evidence</t>
  </si>
  <si>
    <t xml:space="preserve">Network study not directly informing the diffusion-of-diversity theme</t>
  </si>
  <si>
    <t xml:space="preserve">Overlapping review coverage; duplicative of retained reviews/meta-analyses</t>
  </si>
  <si>
    <t xml:space="preserve">TOTAL excluded at full text</t>
  </si>
  <si>
    <t xml:space="preserve">Studies included via databases</t>
  </si>
  <si>
    <t xml:space="preserve">The six studies retained via the database arm</t>
  </si>
  <si>
    <t xml:space="preserve">Author(s)</t>
  </si>
  <si>
    <t xml:space="preserve">Year</t>
  </si>
  <si>
    <t xml:space="preserve">Source</t>
  </si>
  <si>
    <t xml:space="preserve">Brahma, S.; Nwafor, C.; Boateng, A.</t>
  </si>
  <si>
    <t xml:space="preserve">Board gender diversity and firm performance: The UK evidence</t>
  </si>
  <si>
    <t xml:space="preserve">International Journal of Finance and Economics</t>
  </si>
  <si>
    <t xml:space="preserve">Carter, D.A.; Simkins, B.J.; Simpson, W.G.</t>
  </si>
  <si>
    <t xml:space="preserve">Corporate Governance, Board Diversity, and Firm Value.</t>
  </si>
  <si>
    <t xml:space="preserve">Financial Review</t>
  </si>
  <si>
    <t xml:space="preserve">POST, CORINNE; BYRON, KRIS</t>
  </si>
  <si>
    <t xml:space="preserve">WOMEN ON BOARDS AND FIRM FINANCIAL PERFORMANCE: A META-ANALYSIS.</t>
  </si>
  <si>
    <t xml:space="preserve">Academy of Management Journal</t>
  </si>
  <si>
    <t xml:space="preserve">Gregory-Smith, Ian; Main, Brian G.M.; O'Reilly, Charles A.</t>
  </si>
  <si>
    <t xml:space="preserve">APPOINTMENTS, PAY AND PERFORMANCE IN UK BOARDROOMS BY GENDER</t>
  </si>
  <si>
    <t xml:space="preserve">The Economic Journal</t>
  </si>
  <si>
    <t xml:space="preserve">Caiazza, R; Jr, AA Cannella; Phan, PH; ...</t>
  </si>
  <si>
    <t xml:space="preserve">An institutional contingency perspective of interlocking directorates</t>
  </si>
  <si>
    <t xml:space="preserve">International Journal of …</t>
  </si>
  <si>
    <t xml:space="preserve">Mizruchi, MS</t>
  </si>
  <si>
    <t xml:space="preserve">What do interlocks do? An analysis, critique, and assessment of research on interlocking directorates</t>
  </si>
  <si>
    <t xml:space="preserve">Annual review of sociology</t>
  </si>
  <si>
    <t xml:space="preserve">Sheet 5 - Sources identified via other methods</t>
  </si>
  <si>
    <t xml:space="preserve">Foundational works and the UK regulatory corpus were excluded from the database arm by design, because books and regulatory documents fall outside the peer-reviewed article filter, and entered instead through citation tracking on the retained studies.</t>
  </si>
  <si>
    <t xml:space="preserve">Author(s) / organisation</t>
  </si>
  <si>
    <t xml:space="preserve">Route</t>
  </si>
  <si>
    <t xml:space="preserve">Adams, R.B. and Ferreira, D.</t>
  </si>
  <si>
    <t xml:space="preserve">Women in the boardroom and their impact on governance and performance</t>
  </si>
  <si>
    <t xml:space="preserve">Citation searching (backward/forward)</t>
  </si>
  <si>
    <t xml:space="preserve">Blau, P.M.</t>
  </si>
  <si>
    <t xml:space="preserve">Inequality and heterogeneity: a primitive theory of social structure</t>
  </si>
  <si>
    <t xml:space="preserve">DiMaggio, P.J. and Powell, W.W.</t>
  </si>
  <si>
    <t xml:space="preserve">The iron cage revisited</t>
  </si>
  <si>
    <t xml:space="preserve">Gompers, P., Ishii, J. and Metrick, A.</t>
  </si>
  <si>
    <t xml:space="preserve">Corporate governance and equity prices</t>
  </si>
  <si>
    <t xml:space="preserve">Hambrick, D.C. and Mason, P.A.</t>
  </si>
  <si>
    <t xml:space="preserve">Upper echelons: the organization as a reflection of its top managers</t>
  </si>
  <si>
    <t xml:space="preserve">Hillman, A.J. and Dalziel, T.</t>
  </si>
  <si>
    <t xml:space="preserve">Boards of directors and firm performance</t>
  </si>
  <si>
    <t xml:space="preserve">Kanter, R.M.</t>
  </si>
  <si>
    <t xml:space="preserve">Men and women of the corporation</t>
  </si>
  <si>
    <t xml:space="preserve">Konrad, A.M., Kramer, V.W. and Erkut, S.</t>
  </si>
  <si>
    <t xml:space="preserve">Critical mass: the impact of three or more women on corporate boards</t>
  </si>
  <si>
    <t xml:space="preserve">Larcker, D.F., Richardson, S.A. and Tuna, I.</t>
  </si>
  <si>
    <t xml:space="preserve">Corporate governance, accounting outcomes, and organizational performance</t>
  </si>
  <si>
    <t xml:space="preserve">Larcker, D.F., So, E.C. and Wang, C.C.Y.</t>
  </si>
  <si>
    <t xml:space="preserve">Boardroom centrality and firm performance</t>
  </si>
  <si>
    <t xml:space="preserve">Ryan, M.K. and Haslam, S.A.</t>
  </si>
  <si>
    <t xml:space="preserve">The glass cliff</t>
  </si>
  <si>
    <t xml:space="preserve">Seierstad, C. and Opsahl, T.</t>
  </si>
  <si>
    <t xml:space="preserve">For the few not the many?</t>
  </si>
  <si>
    <t xml:space="preserve">Terjesen, S., Sealy, R. and Singh, V.</t>
  </si>
  <si>
    <t xml:space="preserve">Women directors on corporate boards: a review and research agenda</t>
  </si>
  <si>
    <t xml:space="preserve">Vinnicombe, S., Tessaro, M. and Battista, V.</t>
  </si>
  <si>
    <t xml:space="preserve">Female FTSE Board Report 2024: 25 years on – milestones and misses</t>
  </si>
  <si>
    <t xml:space="preserve">Regulatory / organisational corpus</t>
  </si>
  <si>
    <t xml:space="preserve">Financial Conduct Authority</t>
  </si>
  <si>
    <t xml:space="preserve">Diversity and inclusion on company boards: policy statement PS22/3</t>
  </si>
  <si>
    <t xml:space="preserve">Financial Reporting Council</t>
  </si>
  <si>
    <t xml:space="preserve">The UK Corporate Governance Code</t>
  </si>
  <si>
    <t xml:space="preserve">FTSE Women Leaders Review</t>
  </si>
  <si>
    <t xml:space="preserve">Achieving gender balance - annual report</t>
  </si>
  <si>
    <t xml:space="preserve">Achieving gender balance - 2025 report</t>
  </si>
  <si>
    <t xml:space="preserve">Parker Review</t>
  </si>
  <si>
    <t xml:space="preserve">Improving the ethnic diversity of UK business</t>
  </si>
  <si>
    <t xml:space="preserve">Via citation searching</t>
  </si>
  <si>
    <t xml:space="preserve">Via regulatory / organisational corpus</t>
  </si>
  <si>
    <t xml:space="preserve">TOTAL via other methods</t>
  </si>
  <si>
    <t xml:space="preserve">Sheet 6 - PRISMA 2020 flow numbers</t>
  </si>
  <si>
    <t xml:space="preserve">These twelve numbers are what Figure 2.1 displays and what Table D.1 tabulates.</t>
  </si>
  <si>
    <t xml:space="preserve">Stage</t>
  </si>
  <si>
    <t xml:space="preserve">Flow item</t>
  </si>
  <si>
    <t xml:space="preserve">Value</t>
  </si>
  <si>
    <t xml:space="preserve">IDENTIFICATION</t>
  </si>
  <si>
    <t xml:space="preserve">Sheet 1</t>
  </si>
  <si>
    <t xml:space="preserve">Duplicate records removed before screening</t>
  </si>
  <si>
    <t xml:space="preserve">Sheet 2</t>
  </si>
  <si>
    <t xml:space="preserve">Records identified via other methods</t>
  </si>
  <si>
    <t xml:space="preserve">Sheet 5</t>
  </si>
  <si>
    <t xml:space="preserve">SCREENING</t>
  </si>
  <si>
    <t xml:space="preserve">Records excluded at title/abstract</t>
  </si>
  <si>
    <t xml:space="preserve">Sheet 3</t>
  </si>
  <si>
    <t xml:space="preserve">Reports sought for retrieval</t>
  </si>
  <si>
    <t xml:space="preserve">Reports not retrieved</t>
  </si>
  <si>
    <t xml:space="preserve">Reports assessed for eligibility (databases)</t>
  </si>
  <si>
    <t xml:space="preserve">Sheet 4</t>
  </si>
  <si>
    <t xml:space="preserve">Reports excluded at full text</t>
  </si>
  <si>
    <t xml:space="preserve">INCLUDED</t>
  </si>
  <si>
    <t xml:space="preserve">Studies included via other methods</t>
  </si>
  <si>
    <t xml:space="preserve">TOTAL studies in the review</t>
  </si>
  <si>
    <t xml:space="preserve">auto</t>
  </si>
  <si>
    <t xml:space="preserve">Arithmetic checks</t>
  </si>
  <si>
    <t xml:space="preserve">identified - duplicates = screened</t>
  </si>
  <si>
    <t xml:space="preserve">screened - excluded = reports sought</t>
  </si>
  <si>
    <t xml:space="preserve">sought - not retrieved = assessed</t>
  </si>
  <si>
    <t xml:space="preserve">assessed = included + excluded</t>
  </si>
  <si>
    <t xml:space="preserve">total = databases + other methods</t>
  </si>
  <si>
    <t xml:space="preserve">Sheet 7 - Dissertation claims checked against this log</t>
  </si>
  <si>
    <t xml:space="preserve">Where stated</t>
  </si>
  <si>
    <t xml:space="preserve">Claim</t>
  </si>
  <si>
    <t xml:space="preserve">Log value</t>
  </si>
  <si>
    <t xml:space="preserve">Evidence</t>
  </si>
  <si>
    <t xml:space="preserve">Status</t>
  </si>
  <si>
    <t xml:space="preserve">Section 2.1</t>
  </si>
  <si>
    <t xml:space="preserve">Searches run 18-20 July 2026</t>
  </si>
  <si>
    <t xml:space="preserve">18-20 Jul 2026</t>
  </si>
  <si>
    <t xml:space="preserve">Sheet 1, Date run</t>
  </si>
  <si>
    <t xml:space="preserve">MATCH</t>
  </si>
  <si>
    <t xml:space="preserve">Window 1980-2024 except Scopus (PUBYEAR limits)</t>
  </si>
  <si>
    <t xml:space="preserve">1993-2024 / 1994-2024</t>
  </si>
  <si>
    <t xml:space="preserve">Sheet 1, Filters</t>
  </si>
  <si>
    <t xml:space="preserve">Business Source Premier substituted for Web of Science</t>
  </si>
  <si>
    <t xml:space="preserve">logged</t>
  </si>
  <si>
    <t xml:space="preserve">Sheet 0, Sheet 1</t>
  </si>
  <si>
    <t xml:space="preserve">Abstract-level BSP run returned 2,033 after filters</t>
  </si>
  <si>
    <t xml:space="preserve">2,033</t>
  </si>
  <si>
    <t xml:space="preserve">Sheet 1, Notes</t>
  </si>
  <si>
    <t xml:space="preserve">JSTOR abstract coverage approximately 10%</t>
  </si>
  <si>
    <t xml:space="preserve">per JSTOR notice</t>
  </si>
  <si>
    <t xml:space="preserve">Google Scholar exploratory run returned 995</t>
  </si>
  <si>
    <t xml:space="preserve">995</t>
  </si>
  <si>
    <t xml:space="preserve">Google Scholar capped at 200 per string</t>
  </si>
  <si>
    <t xml:space="preserve">200 + 200</t>
  </si>
  <si>
    <t xml:space="preserve">Sheet 1, Records</t>
  </si>
  <si>
    <t xml:space="preserve">Table D.2</t>
  </si>
  <si>
    <t xml:space="preserve">Scopus records</t>
  </si>
  <si>
    <t xml:space="preserve">Sheet 1 (789 + 126)</t>
  </si>
  <si>
    <t xml:space="preserve">Business Source Premier records</t>
  </si>
  <si>
    <t xml:space="preserve">Sheet 1 (769 + 73)</t>
  </si>
  <si>
    <t xml:space="preserve">JSTOR records</t>
  </si>
  <si>
    <t xml:space="preserve">Sheet 1 (148 + 8)</t>
  </si>
  <si>
    <t xml:space="preserve">Google Scholar records</t>
  </si>
  <si>
    <t xml:space="preserve">Sheet 1 (200 + 200)</t>
  </si>
  <si>
    <t xml:space="preserve">Total records identified</t>
  </si>
  <si>
    <t xml:space="preserve">Sheet 1 total</t>
  </si>
  <si>
    <t xml:space="preserve">Table D.1</t>
  </si>
  <si>
    <t xml:space="preserve">Duplicates removed</t>
  </si>
  <si>
    <t xml:space="preserve">Borderline pairs settled by hand</t>
  </si>
  <si>
    <t xml:space="preserve">05_screening_decisions_1659.csv</t>
  </si>
  <si>
    <t xml:space="preserve">Records excluded at screening</t>
  </si>
  <si>
    <t xml:space="preserve">Reports assessed for eligibility</t>
  </si>
  <si>
    <t xml:space="preserve">06_eligibility_assessments_955.csv</t>
  </si>
  <si>
    <t xml:space="preserve">Figure 2.1</t>
  </si>
  <si>
    <t xml:space="preserve">Outcome peripheral to synthesis themes</t>
  </si>
  <si>
    <t xml:space="preserve">No direct thematic contribution</t>
  </si>
  <si>
    <t xml:space="preserve">Duplicative of retained meta-analytic evidence</t>
  </si>
  <si>
    <t xml:space="preserve">Network study outside diffusion focus</t>
  </si>
  <si>
    <t xml:space="preserve">Overlapping review coverage</t>
  </si>
  <si>
    <t xml:space="preserve">Database-derived sources retained</t>
  </si>
  <si>
    <t xml:space="preserve">Sources added via other methods</t>
  </si>
  <si>
    <t xml:space="preserve">Sheet 5 (13 + 6)</t>
  </si>
  <si>
    <t xml:space="preserve">Total sources included in review</t>
  </si>
  <si>
    <t xml:space="preserve">Sheet 6</t>
  </si>
  <si>
    <t xml:space="preserve">Sheet 8 - Evidence file manifest</t>
  </si>
  <si>
    <t xml:space="preserve">Every file is an unedited export or an unmodified processing log. Together they carry each record through the review, so any count in Section 2.1, Figure 2.1, Table D.1, Table D.2 or this workbook can be recomputed from them.</t>
  </si>
  <si>
    <t xml:space="preserve">File</t>
  </si>
  <si>
    <t xml:space="preserve">Rows</t>
  </si>
  <si>
    <t xml:space="preserve">PRISMA stage</t>
  </si>
  <si>
    <t xml:space="preserve">What it contains</t>
  </si>
  <si>
    <t xml:space="preserve">Key columns</t>
  </si>
  <si>
    <t xml:space="preserve">01_workbook/PRISMA_Search_Log.xlsx</t>
  </si>
  <si>
    <t xml:space="preserve">-</t>
  </si>
  <si>
    <t xml:space="preserve">all</t>
  </si>
  <si>
    <t xml:space="preserve">This workbook: searches, counts, reconciliation, manifest.</t>
  </si>
  <si>
    <t xml:space="preserve">02_raw_exports/ (16 files)</t>
  </si>
  <si>
    <t xml:space="preserve">Identification</t>
  </si>
  <si>
    <t xml:space="preserve">Unedited database exports: Scopus 789 + 126; EBSCOhost 769 + 73; JSTOR 110 + 38 + 8; Publish or Perish 200 + 200.</t>
  </si>
  <si>
    <t xml:space="preserve">RIS and BibTeX</t>
  </si>
  <si>
    <t xml:space="preserve">03_processing_logs/01_raw_pool_2313.csv</t>
  </si>
  <si>
    <t xml:space="preserve">Every record imported from the four databases, before de-duplication.</t>
  </si>
  <si>
    <t xml:space="preserve">Key, Title, Author, DOI, Year</t>
  </si>
  <si>
    <t xml:space="preserve">03_processing_logs/02_duplicates_removed_654.csv</t>
  </si>
  <si>
    <t xml:space="preserve">Each duplicate removed, the record it merged into, and the matching basis.</t>
  </si>
  <si>
    <t xml:space="preserve">Removed_Key, Kept_Key, Match_Basis</t>
  </si>
  <si>
    <t xml:space="preserve">03_processing_logs/03_borderline_decisions_37.csv</t>
  </si>
  <si>
    <t xml:space="preserve">Ambiguous duplicate pairs adjudicated by hand, with the rationale for each.</t>
  </si>
  <si>
    <t xml:space="preserve">Record_A, Record_B, Decision, Rationale</t>
  </si>
  <si>
    <t xml:space="preserve">03_processing_logs/04_screening_pool_1659.csv</t>
  </si>
  <si>
    <t xml:space="preserve">Screening</t>
  </si>
  <si>
    <t xml:space="preserve">The de-duplicated pool entering title/abstract screening.</t>
  </si>
  <si>
    <t xml:space="preserve">Key, Title, Author, DOI</t>
  </si>
  <si>
    <t xml:space="preserve">03_processing_logs/05_screening_decisions_1659.csv</t>
  </si>
  <si>
    <t xml:space="preserve">Every screened record with its decision, reason and the abstract text relied on.</t>
  </si>
  <si>
    <t xml:space="preserve">Decision, Reason, Evidence</t>
  </si>
  <si>
    <t xml:space="preserve">03_processing_logs/06_eligibility_assessments_955.csv</t>
  </si>
  <si>
    <t xml:space="preserve">Eligibility</t>
  </si>
  <si>
    <t xml:space="preserve">Every full-text assessment, with the exclusion reason or retention decision.</t>
  </si>
  <si>
    <t xml:space="preserve">Eligibility, Elig_Reason</t>
  </si>
  <si>
    <t xml:space="preserve">Chain checks</t>
  </si>
  <si>
    <t xml:space="preserve">raw pool - duplicates = screening pool</t>
  </si>
  <si>
    <t xml:space="preserve">2,313 - 654 = 1,659</t>
  </si>
  <si>
    <t xml:space="preserve">OK</t>
  </si>
  <si>
    <t xml:space="preserve">screening pool record set = screening decisions record set</t>
  </si>
  <si>
    <t xml:space="preserve">1,659 = 1,659</t>
  </si>
  <si>
    <t xml:space="preserve">screening decisions "Keep" = eligibility assessments</t>
  </si>
  <si>
    <t xml:space="preserve">955 = 955</t>
  </si>
  <si>
    <t xml:space="preserve">eligibility "Include" = studies retained via databases</t>
  </si>
  <si>
    <t xml:space="preserve">6</t>
  </si>
  <si>
    <t xml:space="preserve">raw exports summed = raw pool</t>
  </si>
  <si>
    <t xml:space="preserve">2,313 = 2,313</t>
  </si>
  <si>
    <t xml:space="preserve">Note on Zotero item keys</t>
  </si>
  <si>
    <t xml:space="preserve">Zotero assigns a fresh item key whenever records are copied into a new collection, so keys in 01_raw_pool do not carry over into 04 and 05. Files 05 and 06 share one key space; elsewhere, match on title and DOI. This is normal Zotero behaviour, not a break in the chain - the record sets reconcile exactly on title.</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</si>
</sst>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1"/>
      <name val="Arial"/>
      <family val="0"/>
      <charset val="1"/>
    </font>
    <font>
      <sz val="10"/>
      <name val="Arial"/>
      <family val="0"/>
      <charset val="1"/>
    </font>
    <font>
      <b val="true"/>
      <sz val="10"/>
      <name val="Arial"/>
      <family val="0"/>
      <charset val="1"/>
    </font>
    <font>
      <b val="true"/>
      <sz val="13"/>
      <color rgb="FF1F3864"/>
      <name val="Arial"/>
      <family val="0"/>
      <charset val="1"/>
    </font>
    <font>
      <i val="true"/>
      <sz val="9"/>
      <name val="Arial"/>
      <family val="0"/>
      <charset val="1"/>
    </font>
    <font>
      <b val="true"/>
      <sz val="10"/>
      <color rgb="FFFFFFFF"/>
      <name val="Arial"/>
      <family val="0"/>
      <charset val="1"/>
    </font>
    <font>
      <sz val="9"/>
      <name val="Arial"/>
      <family val="0"/>
      <charset val="1"/>
    </font>
    <font>
      <b val="true"/>
      <sz val="11"/>
      <color rgb="FF1F3864"/>
      <name val="Arial"/>
      <family val="0"/>
      <charset val="1"/>
    </font>
    <font>
      <b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EEBF7"/>
        <bgColor rgb="FFE2EFDA"/>
      </patternFill>
    </fill>
    <fill>
      <patternFill patternType="solid">
        <fgColor rgb="FFE2EFDA"/>
        <bgColor rgb="FFDE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8"/>
  </cols>
  <sheetData>
    <row r="1" customFormat="false" ht="18"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4" t="s">
        <v>2</v>
      </c>
    </row>
    <row r="5" customFormat="false" ht="15" hidden="false" customHeight="true" outlineLevel="0" collapsed="false">
      <c r="A5" s="4"/>
    </row>
    <row r="6" customFormat="false" ht="15" hidden="false" customHeight="true" outlineLevel="0" collapsed="false">
      <c r="A6" s="4" t="s">
        <v>3</v>
      </c>
    </row>
    <row r="7" customFormat="false" ht="15" hidden="false" customHeight="true" outlineLevel="0" collapsed="false">
      <c r="A7" s="4" t="s">
        <v>4</v>
      </c>
    </row>
    <row r="8" customFormat="false" ht="15" hidden="false" customHeight="true" outlineLevel="0" collapsed="false">
      <c r="A8" s="4" t="s">
        <v>5</v>
      </c>
    </row>
    <row r="9" customFormat="false" ht="15" hidden="false" customHeight="true" outlineLevel="0" collapsed="false">
      <c r="A9" s="4"/>
    </row>
    <row r="10" customFormat="false" ht="15" hidden="false" customHeight="true" outlineLevel="0" collapsed="false">
      <c r="A10" s="5" t="s">
        <v>6</v>
      </c>
    </row>
    <row r="11" customFormat="false" ht="15" hidden="false" customHeight="true" outlineLevel="0" collapsed="false">
      <c r="A11" s="4" t="s">
        <v>7</v>
      </c>
    </row>
    <row r="12" customFormat="false" ht="15" hidden="false" customHeight="true" outlineLevel="0" collapsed="false">
      <c r="A12" s="4" t="s">
        <v>8</v>
      </c>
    </row>
    <row r="13" customFormat="false" ht="15" hidden="false" customHeight="true" outlineLevel="0" collapsed="false">
      <c r="A13" s="4" t="s">
        <v>9</v>
      </c>
    </row>
    <row r="14" customFormat="false" ht="15" hidden="false" customHeight="true" outlineLevel="0" collapsed="false">
      <c r="A14" s="4" t="s">
        <v>10</v>
      </c>
    </row>
    <row r="15" customFormat="false" ht="15" hidden="false" customHeight="true" outlineLevel="0" collapsed="false">
      <c r="A15" s="4" t="s">
        <v>11</v>
      </c>
    </row>
    <row r="16" customFormat="false" ht="15" hidden="false" customHeight="true" outlineLevel="0" collapsed="false">
      <c r="A16" s="4" t="s">
        <v>12</v>
      </c>
    </row>
    <row r="17" customFormat="false" ht="15" hidden="false" customHeight="true" outlineLevel="0" collapsed="false">
      <c r="A17" s="4" t="s">
        <v>13</v>
      </c>
    </row>
    <row r="18" customFormat="false" ht="15" hidden="false" customHeight="true" outlineLevel="0" collapsed="false">
      <c r="A18" s="4" t="s">
        <v>14</v>
      </c>
    </row>
    <row r="19" customFormat="false" ht="15" hidden="false" customHeight="true" outlineLevel="0" collapsed="false">
      <c r="A19" s="4"/>
    </row>
    <row r="20" customFormat="false" ht="15" hidden="false" customHeight="true" outlineLevel="0" collapsed="false">
      <c r="A20" s="5" t="s">
        <v>15</v>
      </c>
    </row>
    <row r="21" customFormat="false" ht="15" hidden="false" customHeight="true" outlineLevel="0" collapsed="false">
      <c r="A21" s="4" t="s">
        <v>16</v>
      </c>
    </row>
    <row r="22" customFormat="false" ht="15" hidden="false" customHeight="true" outlineLevel="0" collapsed="false">
      <c r="A22" s="4" t="s">
        <v>17</v>
      </c>
    </row>
    <row r="23" customFormat="false" ht="15" hidden="false" customHeight="true" outlineLevel="0" collapsed="false">
      <c r="A23" s="4"/>
    </row>
    <row r="24" customFormat="false" ht="15" hidden="false" customHeight="true" outlineLevel="0" collapsed="false">
      <c r="A24" s="5" t="s">
        <v>18</v>
      </c>
    </row>
    <row r="25" customFormat="false" ht="15" hidden="false" customHeight="true" outlineLevel="0" collapsed="false">
      <c r="A25" s="4" t="s">
        <v>19</v>
      </c>
    </row>
    <row r="26" customFormat="false" ht="15" hidden="false" customHeight="true" outlineLevel="0" collapsed="false">
      <c r="A26" s="4" t="s">
        <v>20</v>
      </c>
    </row>
    <row r="27" customFormat="false" ht="15" hidden="false" customHeight="true" outlineLevel="0" collapsed="false">
      <c r="A27"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6"/>
    <col collapsed="false" customWidth="true" hidden="false" outlineLevel="0" max="3" min="3" style="1" width="7"/>
    <col collapsed="false" customWidth="true" hidden="false" outlineLevel="0" max="4" min="4" style="1" width="66"/>
    <col collapsed="false" customWidth="true" hidden="false" outlineLevel="0" max="5" min="5" style="1" width="20"/>
    <col collapsed="false" customWidth="true" hidden="false" outlineLevel="0" max="6" min="6" style="1" width="34"/>
    <col collapsed="false" customWidth="true" hidden="false" outlineLevel="0" max="7" min="7" style="1" width="9"/>
    <col collapsed="false" customWidth="true" hidden="false" outlineLevel="0" max="8" min="8" style="1" width="40"/>
    <col collapsed="false" customWidth="true" hidden="false" outlineLevel="0" max="9" min="9" style="1" width="52"/>
  </cols>
  <sheetData>
    <row r="1" customFormat="false" ht="15.75" hidden="false" customHeight="true" outlineLevel="0" collapsed="false">
      <c r="A1" s="6" t="s">
        <v>22</v>
      </c>
    </row>
    <row r="3" customFormat="false" ht="51.75" hidden="false" customHeight="true" outlineLevel="0" collapsed="false">
      <c r="A3" s="7" t="s">
        <v>23</v>
      </c>
      <c r="B3" s="7"/>
      <c r="C3" s="7"/>
      <c r="D3" s="7"/>
      <c r="E3" s="7"/>
      <c r="F3" s="7"/>
      <c r="G3" s="7"/>
      <c r="H3" s="7"/>
      <c r="I3" s="7"/>
    </row>
    <row r="5" customFormat="false" ht="30" hidden="false" customHeight="true" outlineLevel="0" collapsed="false">
      <c r="A5" s="8" t="s">
        <v>24</v>
      </c>
      <c r="B5" s="8" t="s">
        <v>25</v>
      </c>
      <c r="C5" s="8" t="s">
        <v>26</v>
      </c>
      <c r="D5" s="8" t="s">
        <v>27</v>
      </c>
      <c r="E5" s="8" t="s">
        <v>28</v>
      </c>
      <c r="F5" s="8" t="s">
        <v>29</v>
      </c>
      <c r="G5" s="8" t="s">
        <v>30</v>
      </c>
      <c r="H5" s="8" t="s">
        <v>31</v>
      </c>
      <c r="I5" s="8" t="s">
        <v>32</v>
      </c>
    </row>
    <row r="6" customFormat="false" ht="42.75" hidden="false" customHeight="true" outlineLevel="0" collapsed="false">
      <c r="A6" s="9" t="s">
        <v>33</v>
      </c>
      <c r="B6" s="9" t="s">
        <v>34</v>
      </c>
      <c r="C6" s="9" t="n">
        <v>1</v>
      </c>
      <c r="D6" s="10" t="s">
        <v>35</v>
      </c>
      <c r="E6" s="10" t="s">
        <v>36</v>
      </c>
      <c r="F6" s="10" t="s">
        <v>37</v>
      </c>
      <c r="G6" s="9" t="n">
        <v>789</v>
      </c>
      <c r="H6" s="10" t="s">
        <v>38</v>
      </c>
      <c r="I6" s="10"/>
    </row>
    <row r="7" customFormat="false" ht="42.75" hidden="false" customHeight="true" outlineLevel="0" collapsed="false">
      <c r="A7" s="9" t="s">
        <v>33</v>
      </c>
      <c r="B7" s="9" t="s">
        <v>34</v>
      </c>
      <c r="C7" s="9" t="n">
        <v>2</v>
      </c>
      <c r="D7" s="10" t="s">
        <v>39</v>
      </c>
      <c r="E7" s="10" t="s">
        <v>40</v>
      </c>
      <c r="F7" s="10" t="s">
        <v>41</v>
      </c>
      <c r="G7" s="9" t="n">
        <v>126</v>
      </c>
      <c r="H7" s="10" t="s">
        <v>42</v>
      </c>
      <c r="I7" s="10"/>
    </row>
    <row r="8" customFormat="false" ht="21.75" hidden="false" customHeight="true" outlineLevel="0" collapsed="false">
      <c r="A8" s="9" t="s">
        <v>43</v>
      </c>
      <c r="B8" s="9" t="s">
        <v>44</v>
      </c>
      <c r="C8" s="9" t="n">
        <v>1</v>
      </c>
      <c r="D8" s="10" t="s">
        <v>45</v>
      </c>
      <c r="E8" s="10" t="s">
        <v>36</v>
      </c>
      <c r="F8" s="10" t="s">
        <v>46</v>
      </c>
      <c r="G8" s="9" t="n">
        <v>769</v>
      </c>
      <c r="H8" s="10" t="s">
        <v>47</v>
      </c>
      <c r="I8" s="10" t="s">
        <v>48</v>
      </c>
    </row>
    <row r="9" customFormat="false" ht="21.75" hidden="false" customHeight="true" outlineLevel="0" collapsed="false">
      <c r="A9" s="9" t="s">
        <v>43</v>
      </c>
      <c r="B9" s="9" t="s">
        <v>44</v>
      </c>
      <c r="C9" s="9" t="n">
        <v>2</v>
      </c>
      <c r="D9" s="10" t="s">
        <v>49</v>
      </c>
      <c r="E9" s="10" t="s">
        <v>50</v>
      </c>
      <c r="F9" s="10" t="s">
        <v>46</v>
      </c>
      <c r="G9" s="9" t="n">
        <v>73</v>
      </c>
      <c r="H9" s="10" t="s">
        <v>51</v>
      </c>
      <c r="I9" s="10" t="s">
        <v>52</v>
      </c>
    </row>
    <row r="10" customFormat="false" ht="32.25" hidden="false" customHeight="true" outlineLevel="0" collapsed="false">
      <c r="A10" s="9" t="s">
        <v>43</v>
      </c>
      <c r="B10" s="9" t="s">
        <v>53</v>
      </c>
      <c r="C10" s="9" t="n">
        <v>1</v>
      </c>
      <c r="D10" s="10" t="s">
        <v>54</v>
      </c>
      <c r="E10" s="10" t="s">
        <v>55</v>
      </c>
      <c r="F10" s="10" t="s">
        <v>56</v>
      </c>
      <c r="G10" s="9" t="n">
        <v>148</v>
      </c>
      <c r="H10" s="10" t="s">
        <v>57</v>
      </c>
      <c r="I10" s="10" t="s">
        <v>58</v>
      </c>
    </row>
    <row r="11" customFormat="false" ht="32.25" hidden="false" customHeight="true" outlineLevel="0" collapsed="false">
      <c r="A11" s="9" t="s">
        <v>43</v>
      </c>
      <c r="B11" s="9" t="s">
        <v>53</v>
      </c>
      <c r="C11" s="9" t="n">
        <v>2</v>
      </c>
      <c r="D11" s="10" t="s">
        <v>59</v>
      </c>
      <c r="E11" s="10" t="s">
        <v>60</v>
      </c>
      <c r="F11" s="10" t="s">
        <v>56</v>
      </c>
      <c r="G11" s="9" t="n">
        <v>8</v>
      </c>
      <c r="H11" s="10" t="s">
        <v>61</v>
      </c>
      <c r="I11" s="10" t="s">
        <v>62</v>
      </c>
    </row>
    <row r="12" customFormat="false" ht="32.25" hidden="false" customHeight="true" outlineLevel="0" collapsed="false">
      <c r="A12" s="9" t="s">
        <v>63</v>
      </c>
      <c r="B12" s="9" t="s">
        <v>64</v>
      </c>
      <c r="C12" s="9" t="n">
        <v>1</v>
      </c>
      <c r="D12" s="10" t="s">
        <v>65</v>
      </c>
      <c r="E12" s="10" t="s">
        <v>66</v>
      </c>
      <c r="F12" s="10" t="s">
        <v>67</v>
      </c>
      <c r="G12" s="9" t="n">
        <v>200</v>
      </c>
      <c r="H12" s="10" t="s">
        <v>68</v>
      </c>
      <c r="I12" s="10" t="s">
        <v>69</v>
      </c>
    </row>
    <row r="13" customFormat="false" ht="21.75" hidden="false" customHeight="true" outlineLevel="0" collapsed="false">
      <c r="A13" s="9" t="s">
        <v>63</v>
      </c>
      <c r="B13" s="9" t="s">
        <v>64</v>
      </c>
      <c r="C13" s="9" t="n">
        <v>2</v>
      </c>
      <c r="D13" s="10" t="s">
        <v>70</v>
      </c>
      <c r="E13" s="10" t="s">
        <v>66</v>
      </c>
      <c r="F13" s="10" t="s">
        <v>67</v>
      </c>
      <c r="G13" s="9" t="n">
        <v>200</v>
      </c>
      <c r="H13" s="10" t="s">
        <v>71</v>
      </c>
      <c r="I13" s="10" t="s">
        <v>72</v>
      </c>
    </row>
    <row r="14" customFormat="false" ht="15" hidden="false" customHeight="true" outlineLevel="0" collapsed="false">
      <c r="F14" s="5" t="s">
        <v>73</v>
      </c>
      <c r="G14" s="11" t="n">
        <f aca="false">SUM(G6:G13)</f>
        <v>2313</v>
      </c>
    </row>
  </sheetData>
  <mergeCells count="1">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12"/>
    <col collapsed="false" customWidth="true" hidden="false" outlineLevel="0" max="3" min="3" style="1" width="44"/>
  </cols>
  <sheetData>
    <row r="1" customFormat="false" ht="15.75" hidden="false" customHeight="true" outlineLevel="0" collapsed="false">
      <c r="A1" s="6" t="s">
        <v>74</v>
      </c>
    </row>
    <row r="3" customFormat="false" ht="31.5" hidden="false" customHeight="true" outlineLevel="0" collapsed="false">
      <c r="A3" s="7" t="s">
        <v>75</v>
      </c>
      <c r="B3" s="7"/>
      <c r="C3" s="7"/>
    </row>
    <row r="5" customFormat="false" ht="30" hidden="false" customHeight="true" outlineLevel="0" collapsed="false">
      <c r="A5" s="8" t="s">
        <v>76</v>
      </c>
      <c r="B5" s="8" t="s">
        <v>77</v>
      </c>
      <c r="C5" s="8" t="s">
        <v>78</v>
      </c>
    </row>
    <row r="6" customFormat="false" ht="15" hidden="false" customHeight="true" outlineLevel="0" collapsed="false">
      <c r="A6" s="10" t="s">
        <v>79</v>
      </c>
      <c r="B6" s="9" t="n">
        <v>471</v>
      </c>
      <c r="C6" s="10"/>
    </row>
    <row r="7" customFormat="false" ht="15" hidden="false" customHeight="true" outlineLevel="0" collapsed="false">
      <c r="A7" s="10" t="s">
        <v>80</v>
      </c>
      <c r="B7" s="9" t="n">
        <v>145</v>
      </c>
      <c r="C7" s="10"/>
    </row>
    <row r="8" customFormat="false" ht="15" hidden="false" customHeight="true" outlineLevel="0" collapsed="false">
      <c r="A8" s="10" t="s">
        <v>81</v>
      </c>
      <c r="B8" s="9" t="n">
        <v>35</v>
      </c>
      <c r="C8" s="10"/>
    </row>
    <row r="9" customFormat="false" ht="15" hidden="false" customHeight="true" outlineLevel="0" collapsed="false">
      <c r="A9" s="10" t="s">
        <v>82</v>
      </c>
      <c r="B9" s="9" t="n">
        <v>3</v>
      </c>
      <c r="C9" s="10"/>
    </row>
    <row r="10" customFormat="false" ht="15" hidden="false" customHeight="true" outlineLevel="0" collapsed="false">
      <c r="A10" s="10" t="s">
        <v>83</v>
      </c>
      <c r="B10" s="9" t="n">
        <v>654</v>
      </c>
      <c r="C10" s="10" t="s">
        <v>84</v>
      </c>
    </row>
    <row r="11" customFormat="false" ht="15" hidden="false" customHeight="true" outlineLevel="0" collapsed="false">
      <c r="A11" s="10"/>
      <c r="B11" s="9"/>
      <c r="C11" s="10"/>
    </row>
    <row r="12" customFormat="false" ht="15" hidden="false" customHeight="true" outlineLevel="0" collapsed="false">
      <c r="A12" s="10" t="s">
        <v>85</v>
      </c>
      <c r="B12" s="9" t="n">
        <v>37</v>
      </c>
      <c r="C12" s="10" t="s">
        <v>86</v>
      </c>
    </row>
    <row r="13" customFormat="false" ht="15" hidden="false" customHeight="true" outlineLevel="0" collapsed="false">
      <c r="A13" s="10" t="s">
        <v>87</v>
      </c>
      <c r="B13" s="9" t="n">
        <v>36</v>
      </c>
      <c r="C13" s="10"/>
    </row>
    <row r="14" customFormat="false" ht="15" hidden="false" customHeight="true" outlineLevel="0" collapsed="false">
      <c r="A14" s="10" t="s">
        <v>88</v>
      </c>
      <c r="B14" s="9" t="n">
        <v>1</v>
      </c>
      <c r="C14" s="10"/>
    </row>
    <row r="16" customFormat="false" ht="15" hidden="false" customHeight="true" outlineLevel="0" collapsed="false">
      <c r="A16" s="4" t="s">
        <v>89</v>
      </c>
      <c r="B16" s="12" t="n">
        <f aca="false">1_Search_Log!G14</f>
        <v>2313</v>
      </c>
    </row>
    <row r="17" customFormat="false" ht="15" hidden="false" customHeight="true" outlineLevel="0" collapsed="false">
      <c r="A17" s="4" t="s">
        <v>90</v>
      </c>
      <c r="B17" s="12" t="n">
        <f aca="false">-B10</f>
        <v>-654</v>
      </c>
    </row>
    <row r="18" customFormat="false" ht="15" hidden="false" customHeight="true" outlineLevel="0" collapsed="false">
      <c r="A18" s="5" t="s">
        <v>91</v>
      </c>
      <c r="B18" s="11" t="n">
        <f aca="false">B16+B17</f>
        <v>1659</v>
      </c>
    </row>
  </sheetData>
  <mergeCells count="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6"/>
    <col collapsed="false" customWidth="true" hidden="false" outlineLevel="0" max="2" min="2" style="1" width="12"/>
  </cols>
  <sheetData>
    <row r="1" customFormat="false" ht="15.75" hidden="false" customHeight="true" outlineLevel="0" collapsed="false">
      <c r="A1" s="6" t="s">
        <v>92</v>
      </c>
    </row>
    <row r="3" customFormat="false" ht="31.5" hidden="false" customHeight="true" outlineLevel="0" collapsed="false">
      <c r="A3" s="7" t="s">
        <v>93</v>
      </c>
      <c r="B3" s="7"/>
    </row>
    <row r="5" customFormat="false" ht="30" hidden="false" customHeight="true" outlineLevel="0" collapsed="false">
      <c r="A5" s="8" t="s">
        <v>94</v>
      </c>
      <c r="B5" s="8" t="s">
        <v>30</v>
      </c>
    </row>
    <row r="6" customFormat="false" ht="15" hidden="false" customHeight="true" outlineLevel="0" collapsed="false">
      <c r="A6" s="10" t="s">
        <v>95</v>
      </c>
      <c r="B6" s="9" t="n">
        <v>312</v>
      </c>
    </row>
    <row r="7" customFormat="false" ht="15" hidden="false" customHeight="true" outlineLevel="0" collapsed="false">
      <c r="A7" s="10" t="s">
        <v>96</v>
      </c>
      <c r="B7" s="9" t="n">
        <v>110</v>
      </c>
    </row>
    <row r="8" customFormat="false" ht="15" hidden="false" customHeight="true" outlineLevel="0" collapsed="false">
      <c r="A8" s="10" t="s">
        <v>97</v>
      </c>
      <c r="B8" s="9" t="n">
        <v>107</v>
      </c>
    </row>
    <row r="9" customFormat="false" ht="15" hidden="false" customHeight="true" outlineLevel="0" collapsed="false">
      <c r="A9" s="10" t="s">
        <v>98</v>
      </c>
      <c r="B9" s="9" t="n">
        <v>85</v>
      </c>
    </row>
    <row r="10" customFormat="false" ht="15" hidden="false" customHeight="true" outlineLevel="0" collapsed="false">
      <c r="A10" s="10" t="s">
        <v>99</v>
      </c>
      <c r="B10" s="9" t="n">
        <v>34</v>
      </c>
    </row>
    <row r="11" customFormat="false" ht="15" hidden="false" customHeight="true" outlineLevel="0" collapsed="false">
      <c r="A11" s="10" t="s">
        <v>100</v>
      </c>
      <c r="B11" s="9" t="n">
        <v>21</v>
      </c>
    </row>
    <row r="12" customFormat="false" ht="15" hidden="false" customHeight="true" outlineLevel="0" collapsed="false">
      <c r="A12" s="10" t="s">
        <v>101</v>
      </c>
      <c r="B12" s="9" t="n">
        <v>17</v>
      </c>
    </row>
    <row r="13" customFormat="false" ht="15" hidden="false" customHeight="true" outlineLevel="0" collapsed="false">
      <c r="A13" s="10" t="s">
        <v>102</v>
      </c>
      <c r="B13" s="9" t="n">
        <v>13</v>
      </c>
    </row>
    <row r="14" customFormat="false" ht="15" hidden="false" customHeight="true" outlineLevel="0" collapsed="false">
      <c r="A14" s="10" t="s">
        <v>103</v>
      </c>
      <c r="B14" s="9" t="n">
        <v>5</v>
      </c>
    </row>
    <row r="15" customFormat="false" ht="15" hidden="false" customHeight="true" outlineLevel="0" collapsed="false">
      <c r="A15" s="10" t="s">
        <v>104</v>
      </c>
      <c r="B15" s="9" t="n">
        <v>704</v>
      </c>
    </row>
    <row r="16" customFormat="false" ht="15" hidden="false" customHeight="true" outlineLevel="0" collapsed="false">
      <c r="A16" s="10" t="s">
        <v>105</v>
      </c>
      <c r="B16" s="9" t="n">
        <v>955</v>
      </c>
    </row>
  </sheetData>
  <mergeCells count="1">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6"/>
    <col collapsed="false" customWidth="true" hidden="false" outlineLevel="0" max="2" min="2" style="1" width="12"/>
    <col collapsed="false" customWidth="true" hidden="false" outlineLevel="0" max="3" min="3" style="1" width="62"/>
    <col collapsed="false" customWidth="true" hidden="false" outlineLevel="0" max="4" min="4" style="1" width="38"/>
  </cols>
  <sheetData>
    <row r="1" customFormat="false" ht="15.75" hidden="false" customHeight="true" outlineLevel="0" collapsed="false">
      <c r="A1" s="6" t="s">
        <v>106</v>
      </c>
    </row>
    <row r="3" customFormat="false" ht="31.5" hidden="false" customHeight="true" outlineLevel="0" collapsed="false">
      <c r="A3" s="7" t="s">
        <v>107</v>
      </c>
      <c r="B3" s="7"/>
    </row>
    <row r="5" customFormat="false" ht="30" hidden="false" customHeight="true" outlineLevel="0" collapsed="false">
      <c r="A5" s="8" t="s">
        <v>94</v>
      </c>
      <c r="B5" s="8" t="s">
        <v>108</v>
      </c>
    </row>
    <row r="6" customFormat="false" ht="15" hidden="false" customHeight="true" outlineLevel="0" collapsed="false">
      <c r="A6" s="10" t="s">
        <v>109</v>
      </c>
      <c r="B6" s="9" t="n">
        <v>360</v>
      </c>
    </row>
    <row r="7" customFormat="false" ht="15" hidden="false" customHeight="true" outlineLevel="0" collapsed="false">
      <c r="A7" s="10" t="s">
        <v>110</v>
      </c>
      <c r="B7" s="9" t="n">
        <v>273</v>
      </c>
    </row>
    <row r="8" customFormat="false" ht="15" hidden="false" customHeight="true" outlineLevel="0" collapsed="false">
      <c r="A8" s="10" t="s">
        <v>111</v>
      </c>
      <c r="B8" s="9" t="n">
        <v>168</v>
      </c>
    </row>
    <row r="9" customFormat="false" ht="15" hidden="false" customHeight="true" outlineLevel="0" collapsed="false">
      <c r="A9" s="10" t="s">
        <v>112</v>
      </c>
      <c r="B9" s="9" t="n">
        <v>136</v>
      </c>
    </row>
    <row r="10" customFormat="false" ht="15" hidden="false" customHeight="true" outlineLevel="0" collapsed="false">
      <c r="A10" s="10" t="s">
        <v>113</v>
      </c>
      <c r="B10" s="9" t="n">
        <v>12</v>
      </c>
    </row>
    <row r="11" customFormat="false" ht="15" hidden="false" customHeight="true" outlineLevel="0" collapsed="false">
      <c r="A11" s="10" t="s">
        <v>114</v>
      </c>
      <c r="B11" s="9" t="n">
        <v>949</v>
      </c>
    </row>
    <row r="12" customFormat="false" ht="15" hidden="false" customHeight="true" outlineLevel="0" collapsed="false">
      <c r="A12" s="10" t="s">
        <v>115</v>
      </c>
      <c r="B12" s="9" t="n">
        <v>6</v>
      </c>
    </row>
    <row r="14" customFormat="false" ht="15" hidden="false" customHeight="true" outlineLevel="0" collapsed="false">
      <c r="A14" s="13" t="s">
        <v>116</v>
      </c>
    </row>
    <row r="15" customFormat="false" ht="15" hidden="false" customHeight="true" outlineLevel="0" collapsed="false">
      <c r="A15" s="14" t="s">
        <v>117</v>
      </c>
      <c r="B15" s="14" t="s">
        <v>118</v>
      </c>
      <c r="C15" s="14" t="s">
        <v>36</v>
      </c>
      <c r="D15" s="14" t="s">
        <v>119</v>
      </c>
    </row>
    <row r="16" customFormat="false" ht="15" hidden="false" customHeight="true" outlineLevel="0" collapsed="false">
      <c r="A16" s="10" t="s">
        <v>120</v>
      </c>
      <c r="B16" s="9" t="n">
        <v>2021</v>
      </c>
      <c r="C16" s="10" t="s">
        <v>121</v>
      </c>
      <c r="D16" s="10" t="s">
        <v>122</v>
      </c>
    </row>
    <row r="17" customFormat="false" ht="15" hidden="false" customHeight="true" outlineLevel="0" collapsed="false">
      <c r="A17" s="10" t="s">
        <v>123</v>
      </c>
      <c r="B17" s="9" t="n">
        <v>2003</v>
      </c>
      <c r="C17" s="10" t="s">
        <v>124</v>
      </c>
      <c r="D17" s="10" t="s">
        <v>125</v>
      </c>
    </row>
    <row r="18" customFormat="false" ht="21.75" hidden="false" customHeight="true" outlineLevel="0" collapsed="false">
      <c r="A18" s="10" t="s">
        <v>126</v>
      </c>
      <c r="B18" s="9" t="n">
        <v>2015</v>
      </c>
      <c r="C18" s="10" t="s">
        <v>127</v>
      </c>
      <c r="D18" s="10" t="s">
        <v>128</v>
      </c>
    </row>
    <row r="19" customFormat="false" ht="21.75" hidden="false" customHeight="true" outlineLevel="0" collapsed="false">
      <c r="A19" s="10" t="s">
        <v>129</v>
      </c>
      <c r="B19" s="9" t="n">
        <v>2014</v>
      </c>
      <c r="C19" s="10" t="s">
        <v>130</v>
      </c>
      <c r="D19" s="10" t="s">
        <v>131</v>
      </c>
    </row>
    <row r="20" customFormat="false" ht="15" hidden="false" customHeight="true" outlineLevel="0" collapsed="false">
      <c r="A20" s="10" t="s">
        <v>132</v>
      </c>
      <c r="B20" s="9" t="n">
        <v>2019</v>
      </c>
      <c r="C20" s="10" t="s">
        <v>133</v>
      </c>
      <c r="D20" s="10" t="s">
        <v>134</v>
      </c>
    </row>
    <row r="21" customFormat="false" ht="21.75" hidden="false" customHeight="true" outlineLevel="0" collapsed="false">
      <c r="A21" s="10" t="s">
        <v>135</v>
      </c>
      <c r="B21" s="9" t="n">
        <v>1996</v>
      </c>
      <c r="C21" s="10" t="s">
        <v>136</v>
      </c>
      <c r="D21" s="10" t="s">
        <v>137</v>
      </c>
    </row>
  </sheetData>
  <mergeCells count="1">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8"/>
    <col collapsed="false" customWidth="true" hidden="false" outlineLevel="0" max="3" min="3" style="1" width="62"/>
    <col collapsed="false" customWidth="true" hidden="false" outlineLevel="0" max="4" min="4" style="1" width="32"/>
  </cols>
  <sheetData>
    <row r="1" customFormat="false" ht="15.75" hidden="false" customHeight="true" outlineLevel="0" collapsed="false">
      <c r="A1" s="6" t="s">
        <v>138</v>
      </c>
    </row>
    <row r="3" customFormat="false" ht="31.5" hidden="false" customHeight="true" outlineLevel="0" collapsed="false">
      <c r="A3" s="7" t="s">
        <v>139</v>
      </c>
      <c r="B3" s="7"/>
      <c r="C3" s="7"/>
      <c r="D3" s="7"/>
    </row>
    <row r="5" customFormat="false" ht="30" hidden="false" customHeight="true" outlineLevel="0" collapsed="false">
      <c r="A5" s="8" t="s">
        <v>140</v>
      </c>
      <c r="B5" s="8" t="s">
        <v>118</v>
      </c>
      <c r="C5" s="8" t="s">
        <v>36</v>
      </c>
      <c r="D5" s="8" t="s">
        <v>141</v>
      </c>
    </row>
    <row r="6" customFormat="false" ht="15" hidden="false" customHeight="true" outlineLevel="0" collapsed="false">
      <c r="A6" s="10" t="s">
        <v>142</v>
      </c>
      <c r="B6" s="9" t="n">
        <v>2009</v>
      </c>
      <c r="C6" s="10" t="s">
        <v>143</v>
      </c>
      <c r="D6" s="10" t="s">
        <v>144</v>
      </c>
    </row>
    <row r="7" customFormat="false" ht="15" hidden="false" customHeight="true" outlineLevel="0" collapsed="false">
      <c r="A7" s="10" t="s">
        <v>145</v>
      </c>
      <c r="B7" s="9" t="n">
        <v>1977</v>
      </c>
      <c r="C7" s="10" t="s">
        <v>146</v>
      </c>
      <c r="D7" s="10" t="s">
        <v>144</v>
      </c>
    </row>
    <row r="8" customFormat="false" ht="15" hidden="false" customHeight="true" outlineLevel="0" collapsed="false">
      <c r="A8" s="10" t="s">
        <v>147</v>
      </c>
      <c r="B8" s="9" t="n">
        <v>1983</v>
      </c>
      <c r="C8" s="10" t="s">
        <v>148</v>
      </c>
      <c r="D8" s="10" t="s">
        <v>144</v>
      </c>
    </row>
    <row r="9" customFormat="false" ht="15" hidden="false" customHeight="true" outlineLevel="0" collapsed="false">
      <c r="A9" s="10" t="s">
        <v>149</v>
      </c>
      <c r="B9" s="9" t="n">
        <v>2003</v>
      </c>
      <c r="C9" s="10" t="s">
        <v>150</v>
      </c>
      <c r="D9" s="10" t="s">
        <v>144</v>
      </c>
    </row>
    <row r="10" customFormat="false" ht="15" hidden="false" customHeight="true" outlineLevel="0" collapsed="false">
      <c r="A10" s="10" t="s">
        <v>151</v>
      </c>
      <c r="B10" s="9" t="n">
        <v>1984</v>
      </c>
      <c r="C10" s="10" t="s">
        <v>152</v>
      </c>
      <c r="D10" s="10" t="s">
        <v>144</v>
      </c>
    </row>
    <row r="11" customFormat="false" ht="15" hidden="false" customHeight="true" outlineLevel="0" collapsed="false">
      <c r="A11" s="10" t="s">
        <v>153</v>
      </c>
      <c r="B11" s="9" t="n">
        <v>2003</v>
      </c>
      <c r="C11" s="10" t="s">
        <v>154</v>
      </c>
      <c r="D11" s="10" t="s">
        <v>144</v>
      </c>
    </row>
    <row r="12" customFormat="false" ht="15" hidden="false" customHeight="true" outlineLevel="0" collapsed="false">
      <c r="A12" s="10" t="s">
        <v>155</v>
      </c>
      <c r="B12" s="9" t="n">
        <v>1977</v>
      </c>
      <c r="C12" s="10" t="s">
        <v>156</v>
      </c>
      <c r="D12" s="10" t="s">
        <v>144</v>
      </c>
    </row>
    <row r="13" customFormat="false" ht="15" hidden="false" customHeight="true" outlineLevel="0" collapsed="false">
      <c r="A13" s="10" t="s">
        <v>157</v>
      </c>
      <c r="B13" s="9" t="n">
        <v>2008</v>
      </c>
      <c r="C13" s="10" t="s">
        <v>158</v>
      </c>
      <c r="D13" s="10" t="s">
        <v>144</v>
      </c>
    </row>
    <row r="14" customFormat="false" ht="15" hidden="false" customHeight="true" outlineLevel="0" collapsed="false">
      <c r="A14" s="10" t="s">
        <v>159</v>
      </c>
      <c r="B14" s="9" t="n">
        <v>2007</v>
      </c>
      <c r="C14" s="10" t="s">
        <v>160</v>
      </c>
      <c r="D14" s="10" t="s">
        <v>144</v>
      </c>
    </row>
    <row r="15" customFormat="false" ht="15" hidden="false" customHeight="true" outlineLevel="0" collapsed="false">
      <c r="A15" s="10" t="s">
        <v>161</v>
      </c>
      <c r="B15" s="9" t="n">
        <v>2013</v>
      </c>
      <c r="C15" s="10" t="s">
        <v>162</v>
      </c>
      <c r="D15" s="10" t="s">
        <v>144</v>
      </c>
    </row>
    <row r="16" customFormat="false" ht="15" hidden="false" customHeight="true" outlineLevel="0" collapsed="false">
      <c r="A16" s="10" t="s">
        <v>163</v>
      </c>
      <c r="B16" s="9" t="n">
        <v>2005</v>
      </c>
      <c r="C16" s="10" t="s">
        <v>164</v>
      </c>
      <c r="D16" s="10" t="s">
        <v>144</v>
      </c>
    </row>
    <row r="17" customFormat="false" ht="15" hidden="false" customHeight="true" outlineLevel="0" collapsed="false">
      <c r="A17" s="10" t="s">
        <v>165</v>
      </c>
      <c r="B17" s="9" t="n">
        <v>2011</v>
      </c>
      <c r="C17" s="10" t="s">
        <v>166</v>
      </c>
      <c r="D17" s="10" t="s">
        <v>144</v>
      </c>
    </row>
    <row r="18" customFormat="false" ht="15" hidden="false" customHeight="true" outlineLevel="0" collapsed="false">
      <c r="A18" s="10" t="s">
        <v>167</v>
      </c>
      <c r="B18" s="9" t="n">
        <v>2009</v>
      </c>
      <c r="C18" s="10" t="s">
        <v>168</v>
      </c>
      <c r="D18" s="10" t="s">
        <v>144</v>
      </c>
    </row>
    <row r="19" customFormat="false" ht="15" hidden="false" customHeight="true" outlineLevel="0" collapsed="false">
      <c r="A19" s="10" t="s">
        <v>169</v>
      </c>
      <c r="B19" s="9" t="n">
        <v>2024</v>
      </c>
      <c r="C19" s="10" t="s">
        <v>170</v>
      </c>
      <c r="D19" s="10" t="s">
        <v>171</v>
      </c>
    </row>
    <row r="20" customFormat="false" ht="15" hidden="false" customHeight="true" outlineLevel="0" collapsed="false">
      <c r="A20" s="10" t="s">
        <v>172</v>
      </c>
      <c r="B20" s="9" t="n">
        <v>2022</v>
      </c>
      <c r="C20" s="10" t="s">
        <v>173</v>
      </c>
      <c r="D20" s="10" t="s">
        <v>171</v>
      </c>
    </row>
    <row r="21" customFormat="false" ht="15" hidden="false" customHeight="true" outlineLevel="0" collapsed="false">
      <c r="A21" s="10" t="s">
        <v>174</v>
      </c>
      <c r="B21" s="9" t="n">
        <v>2024</v>
      </c>
      <c r="C21" s="10" t="s">
        <v>175</v>
      </c>
      <c r="D21" s="10" t="s">
        <v>171</v>
      </c>
    </row>
    <row r="22" customFormat="false" ht="15" hidden="false" customHeight="true" outlineLevel="0" collapsed="false">
      <c r="A22" s="10" t="s">
        <v>176</v>
      </c>
      <c r="B22" s="9" t="n">
        <v>2024</v>
      </c>
      <c r="C22" s="10" t="s">
        <v>177</v>
      </c>
      <c r="D22" s="10" t="s">
        <v>171</v>
      </c>
    </row>
    <row r="23" customFormat="false" ht="15" hidden="false" customHeight="true" outlineLevel="0" collapsed="false">
      <c r="A23" s="10" t="s">
        <v>176</v>
      </c>
      <c r="B23" s="9" t="n">
        <v>2026</v>
      </c>
      <c r="C23" s="10" t="s">
        <v>178</v>
      </c>
      <c r="D23" s="10" t="s">
        <v>171</v>
      </c>
    </row>
    <row r="24" customFormat="false" ht="15" hidden="false" customHeight="true" outlineLevel="0" collapsed="false">
      <c r="A24" s="10" t="s">
        <v>179</v>
      </c>
      <c r="B24" s="9" t="n">
        <v>2024</v>
      </c>
      <c r="C24" s="10" t="s">
        <v>180</v>
      </c>
      <c r="D24" s="10" t="s">
        <v>171</v>
      </c>
    </row>
    <row r="26" customFormat="false" ht="15" hidden="false" customHeight="true" outlineLevel="0" collapsed="false">
      <c r="A26" s="4" t="s">
        <v>181</v>
      </c>
      <c r="B26" s="12" t="n">
        <v>13</v>
      </c>
    </row>
    <row r="27" customFormat="false" ht="15" hidden="false" customHeight="true" outlineLevel="0" collapsed="false">
      <c r="A27" s="4" t="s">
        <v>182</v>
      </c>
      <c r="B27" s="12" t="n">
        <v>6</v>
      </c>
    </row>
    <row r="28" customFormat="false" ht="15" hidden="false" customHeight="true" outlineLevel="0" collapsed="false">
      <c r="A28" s="5" t="s">
        <v>183</v>
      </c>
      <c r="B28" s="11" t="n">
        <v>19</v>
      </c>
    </row>
  </sheetData>
  <mergeCells count="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52"/>
    <col collapsed="false" customWidth="true" hidden="false" outlineLevel="0" max="4" min="3" style="1" width="12"/>
  </cols>
  <sheetData>
    <row r="1" customFormat="false" ht="15.75" hidden="false" customHeight="true" outlineLevel="0" collapsed="false">
      <c r="A1" s="6" t="s">
        <v>184</v>
      </c>
    </row>
    <row r="3" customFormat="false" ht="31.5" hidden="false" customHeight="true" outlineLevel="0" collapsed="false">
      <c r="A3" s="7" t="s">
        <v>185</v>
      </c>
      <c r="B3" s="7"/>
      <c r="C3" s="7"/>
      <c r="D3" s="7"/>
    </row>
    <row r="5" customFormat="false" ht="30" hidden="false" customHeight="true" outlineLevel="0" collapsed="false">
      <c r="A5" s="8" t="s">
        <v>186</v>
      </c>
      <c r="B5" s="8" t="s">
        <v>187</v>
      </c>
      <c r="C5" s="8" t="s">
        <v>188</v>
      </c>
      <c r="D5" s="8" t="s">
        <v>119</v>
      </c>
    </row>
    <row r="6" customFormat="false" ht="15" hidden="false" customHeight="true" outlineLevel="0" collapsed="false">
      <c r="A6" s="9" t="s">
        <v>189</v>
      </c>
      <c r="B6" s="10" t="s">
        <v>89</v>
      </c>
      <c r="C6" s="9" t="n">
        <v>2313</v>
      </c>
      <c r="D6" s="9" t="s">
        <v>190</v>
      </c>
    </row>
    <row r="7" customFormat="false" ht="15" hidden="false" customHeight="true" outlineLevel="0" collapsed="false">
      <c r="A7" s="9" t="s">
        <v>189</v>
      </c>
      <c r="B7" s="10" t="s">
        <v>191</v>
      </c>
      <c r="C7" s="9" t="n">
        <v>654</v>
      </c>
      <c r="D7" s="9" t="s">
        <v>192</v>
      </c>
    </row>
    <row r="8" customFormat="false" ht="15" hidden="false" customHeight="true" outlineLevel="0" collapsed="false">
      <c r="A8" s="9" t="s">
        <v>189</v>
      </c>
      <c r="B8" s="10" t="s">
        <v>193</v>
      </c>
      <c r="C8" s="9" t="n">
        <v>19</v>
      </c>
      <c r="D8" s="9" t="s">
        <v>194</v>
      </c>
    </row>
    <row r="9" customFormat="false" ht="15" hidden="false" customHeight="true" outlineLevel="0" collapsed="false">
      <c r="A9" s="9" t="s">
        <v>195</v>
      </c>
      <c r="B9" s="10" t="s">
        <v>91</v>
      </c>
      <c r="C9" s="9" t="n">
        <v>1659</v>
      </c>
      <c r="D9" s="9" t="s">
        <v>192</v>
      </c>
    </row>
    <row r="10" customFormat="false" ht="15" hidden="false" customHeight="true" outlineLevel="0" collapsed="false">
      <c r="A10" s="9" t="s">
        <v>195</v>
      </c>
      <c r="B10" s="10" t="s">
        <v>196</v>
      </c>
      <c r="C10" s="9" t="n">
        <v>704</v>
      </c>
      <c r="D10" s="9" t="s">
        <v>197</v>
      </c>
    </row>
    <row r="11" customFormat="false" ht="15" hidden="false" customHeight="true" outlineLevel="0" collapsed="false">
      <c r="A11" s="9" t="s">
        <v>195</v>
      </c>
      <c r="B11" s="10" t="s">
        <v>198</v>
      </c>
      <c r="C11" s="9" t="n">
        <v>955</v>
      </c>
      <c r="D11" s="9" t="s">
        <v>197</v>
      </c>
    </row>
    <row r="12" customFormat="false" ht="15" hidden="false" customHeight="true" outlineLevel="0" collapsed="false">
      <c r="A12" s="9" t="s">
        <v>195</v>
      </c>
      <c r="B12" s="10" t="s">
        <v>199</v>
      </c>
      <c r="C12" s="9" t="n">
        <v>0</v>
      </c>
      <c r="D12" s="9" t="s">
        <v>197</v>
      </c>
    </row>
    <row r="13" customFormat="false" ht="15" hidden="false" customHeight="true" outlineLevel="0" collapsed="false">
      <c r="A13" s="9" t="s">
        <v>195</v>
      </c>
      <c r="B13" s="10" t="s">
        <v>200</v>
      </c>
      <c r="C13" s="9" t="n">
        <v>955</v>
      </c>
      <c r="D13" s="9" t="s">
        <v>201</v>
      </c>
    </row>
    <row r="14" customFormat="false" ht="15" hidden="false" customHeight="true" outlineLevel="0" collapsed="false">
      <c r="A14" s="9" t="s">
        <v>195</v>
      </c>
      <c r="B14" s="10" t="s">
        <v>202</v>
      </c>
      <c r="C14" s="9" t="n">
        <v>949</v>
      </c>
      <c r="D14" s="9" t="s">
        <v>201</v>
      </c>
    </row>
    <row r="15" customFormat="false" ht="15" hidden="false" customHeight="true" outlineLevel="0" collapsed="false">
      <c r="A15" s="9" t="s">
        <v>203</v>
      </c>
      <c r="B15" s="10" t="s">
        <v>115</v>
      </c>
      <c r="C15" s="9" t="n">
        <v>6</v>
      </c>
      <c r="D15" s="9" t="s">
        <v>201</v>
      </c>
    </row>
    <row r="16" customFormat="false" ht="15" hidden="false" customHeight="true" outlineLevel="0" collapsed="false">
      <c r="A16" s="9" t="s">
        <v>203</v>
      </c>
      <c r="B16" s="10" t="s">
        <v>204</v>
      </c>
      <c r="C16" s="9" t="n">
        <v>19</v>
      </c>
      <c r="D16" s="9" t="s">
        <v>194</v>
      </c>
    </row>
    <row r="17" customFormat="false" ht="15" hidden="false" customHeight="true" outlineLevel="0" collapsed="false">
      <c r="A17" s="9" t="s">
        <v>203</v>
      </c>
      <c r="B17" s="10" t="s">
        <v>205</v>
      </c>
      <c r="C17" s="9" t="n">
        <v>25</v>
      </c>
      <c r="D17" s="9" t="s">
        <v>206</v>
      </c>
    </row>
    <row r="19" customFormat="false" ht="15" hidden="false" customHeight="true" outlineLevel="0" collapsed="false">
      <c r="A19" s="13" t="s">
        <v>207</v>
      </c>
    </row>
    <row r="20" customFormat="false" ht="15" hidden="false" customHeight="true" outlineLevel="0" collapsed="false">
      <c r="A20" s="15" t="s">
        <v>208</v>
      </c>
      <c r="B20" s="15"/>
      <c r="C20" s="16" t="str">
        <f aca="false">IF(C6-C7=C9,"OK","CHECK")</f>
        <v>OK</v>
      </c>
    </row>
    <row r="21" customFormat="false" ht="15" hidden="false" customHeight="true" outlineLevel="0" collapsed="false">
      <c r="A21" s="15" t="s">
        <v>209</v>
      </c>
      <c r="B21" s="15"/>
      <c r="C21" s="16" t="str">
        <f aca="false">IF(C9-C10=C11,"OK","CHECK")</f>
        <v>OK</v>
      </c>
    </row>
    <row r="22" customFormat="false" ht="15" hidden="false" customHeight="true" outlineLevel="0" collapsed="false">
      <c r="A22" s="15" t="s">
        <v>210</v>
      </c>
      <c r="B22" s="15"/>
      <c r="C22" s="16" t="str">
        <f aca="false">IF(C11-C12=C13,"OK","CHECK")</f>
        <v>OK</v>
      </c>
    </row>
    <row r="23" customFormat="false" ht="15" hidden="false" customHeight="true" outlineLevel="0" collapsed="false">
      <c r="A23" s="15" t="s">
        <v>211</v>
      </c>
      <c r="B23" s="15"/>
      <c r="C23" s="16" t="str">
        <f aca="false">IF(C13=C15+C14,"OK","CHECK")</f>
        <v>OK</v>
      </c>
    </row>
    <row r="24" customFormat="false" ht="15" hidden="false" customHeight="true" outlineLevel="0" collapsed="false">
      <c r="A24" s="15" t="s">
        <v>212</v>
      </c>
      <c r="B24" s="15"/>
      <c r="C24" s="16" t="str">
        <f aca="false">IF(C17=C15+C16,"OK","CHECK")</f>
        <v>OK</v>
      </c>
    </row>
  </sheetData>
  <mergeCells count="6">
    <mergeCell ref="A3:D3"/>
    <mergeCell ref="A20:B20"/>
    <mergeCell ref="A21:B21"/>
    <mergeCell ref="A22:B22"/>
    <mergeCell ref="A23:B23"/>
    <mergeCell ref="A24:B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2"/>
    <col collapsed="false" customWidth="true" hidden="false" outlineLevel="0" max="3" min="3" style="1" width="22"/>
    <col collapsed="false" customWidth="true" hidden="false" outlineLevel="0" max="4" min="4" style="1" width="34"/>
    <col collapsed="false" customWidth="true" hidden="false" outlineLevel="0" max="5" min="5" style="1" width="10"/>
  </cols>
  <sheetData>
    <row r="1" customFormat="false" ht="15.75" hidden="false" customHeight="true" outlineLevel="0" collapsed="false">
      <c r="A1" s="6" t="s">
        <v>213</v>
      </c>
    </row>
    <row r="3" customFormat="false" ht="30" hidden="false" customHeight="true" outlineLevel="0" collapsed="false">
      <c r="A3" s="8" t="s">
        <v>214</v>
      </c>
      <c r="B3" s="8" t="s">
        <v>215</v>
      </c>
      <c r="C3" s="8" t="s">
        <v>216</v>
      </c>
      <c r="D3" s="8" t="s">
        <v>217</v>
      </c>
      <c r="E3" s="8" t="s">
        <v>218</v>
      </c>
    </row>
    <row r="4" customFormat="false" ht="15" hidden="false" customHeight="true" outlineLevel="0" collapsed="false">
      <c r="A4" s="9" t="s">
        <v>219</v>
      </c>
      <c r="B4" s="10" t="s">
        <v>220</v>
      </c>
      <c r="C4" s="9" t="s">
        <v>221</v>
      </c>
      <c r="D4" s="10" t="s">
        <v>222</v>
      </c>
      <c r="E4" s="17" t="s">
        <v>223</v>
      </c>
    </row>
    <row r="5" customFormat="false" ht="15" hidden="false" customHeight="true" outlineLevel="0" collapsed="false">
      <c r="A5" s="9" t="s">
        <v>219</v>
      </c>
      <c r="B5" s="10" t="s">
        <v>224</v>
      </c>
      <c r="C5" s="9" t="s">
        <v>225</v>
      </c>
      <c r="D5" s="10" t="s">
        <v>226</v>
      </c>
      <c r="E5" s="17" t="s">
        <v>223</v>
      </c>
    </row>
    <row r="6" customFormat="false" ht="15" hidden="false" customHeight="true" outlineLevel="0" collapsed="false">
      <c r="A6" s="9" t="s">
        <v>219</v>
      </c>
      <c r="B6" s="10" t="s">
        <v>227</v>
      </c>
      <c r="C6" s="9" t="s">
        <v>228</v>
      </c>
      <c r="D6" s="10" t="s">
        <v>229</v>
      </c>
      <c r="E6" s="17" t="s">
        <v>223</v>
      </c>
    </row>
    <row r="7" customFormat="false" ht="15" hidden="false" customHeight="true" outlineLevel="0" collapsed="false">
      <c r="A7" s="9" t="s">
        <v>219</v>
      </c>
      <c r="B7" s="10" t="s">
        <v>230</v>
      </c>
      <c r="C7" s="9" t="s">
        <v>231</v>
      </c>
      <c r="D7" s="10" t="s">
        <v>232</v>
      </c>
      <c r="E7" s="17" t="s">
        <v>223</v>
      </c>
    </row>
    <row r="8" customFormat="false" ht="15" hidden="false" customHeight="true" outlineLevel="0" collapsed="false">
      <c r="A8" s="9" t="s">
        <v>219</v>
      </c>
      <c r="B8" s="10" t="s">
        <v>233</v>
      </c>
      <c r="C8" s="9" t="s">
        <v>234</v>
      </c>
      <c r="D8" s="10" t="s">
        <v>232</v>
      </c>
      <c r="E8" s="17" t="s">
        <v>223</v>
      </c>
    </row>
    <row r="9" customFormat="false" ht="15" hidden="false" customHeight="true" outlineLevel="0" collapsed="false">
      <c r="A9" s="9" t="s">
        <v>219</v>
      </c>
      <c r="B9" s="10" t="s">
        <v>235</v>
      </c>
      <c r="C9" s="9" t="s">
        <v>236</v>
      </c>
      <c r="D9" s="10" t="s">
        <v>232</v>
      </c>
      <c r="E9" s="17" t="s">
        <v>223</v>
      </c>
    </row>
    <row r="10" customFormat="false" ht="15" hidden="false" customHeight="true" outlineLevel="0" collapsed="false">
      <c r="A10" s="9" t="s">
        <v>219</v>
      </c>
      <c r="B10" s="10" t="s">
        <v>237</v>
      </c>
      <c r="C10" s="9" t="s">
        <v>238</v>
      </c>
      <c r="D10" s="10" t="s">
        <v>239</v>
      </c>
      <c r="E10" s="17" t="s">
        <v>223</v>
      </c>
    </row>
    <row r="11" customFormat="false" ht="15" hidden="false" customHeight="true" outlineLevel="0" collapsed="false">
      <c r="A11" s="9" t="s">
        <v>240</v>
      </c>
      <c r="B11" s="10" t="s">
        <v>241</v>
      </c>
      <c r="C11" s="9" t="n">
        <v>915</v>
      </c>
      <c r="D11" s="10" t="s">
        <v>242</v>
      </c>
      <c r="E11" s="17" t="s">
        <v>223</v>
      </c>
    </row>
    <row r="12" customFormat="false" ht="15" hidden="false" customHeight="true" outlineLevel="0" collapsed="false">
      <c r="A12" s="9" t="s">
        <v>240</v>
      </c>
      <c r="B12" s="10" t="s">
        <v>243</v>
      </c>
      <c r="C12" s="9" t="n">
        <v>842</v>
      </c>
      <c r="D12" s="10" t="s">
        <v>244</v>
      </c>
      <c r="E12" s="17" t="s">
        <v>223</v>
      </c>
    </row>
    <row r="13" customFormat="false" ht="15" hidden="false" customHeight="true" outlineLevel="0" collapsed="false">
      <c r="A13" s="9" t="s">
        <v>240</v>
      </c>
      <c r="B13" s="10" t="s">
        <v>245</v>
      </c>
      <c r="C13" s="9" t="n">
        <v>156</v>
      </c>
      <c r="D13" s="10" t="s">
        <v>246</v>
      </c>
      <c r="E13" s="17" t="s">
        <v>223</v>
      </c>
    </row>
    <row r="14" customFormat="false" ht="15" hidden="false" customHeight="true" outlineLevel="0" collapsed="false">
      <c r="A14" s="9" t="s">
        <v>240</v>
      </c>
      <c r="B14" s="10" t="s">
        <v>247</v>
      </c>
      <c r="C14" s="9" t="n">
        <v>400</v>
      </c>
      <c r="D14" s="10" t="s">
        <v>248</v>
      </c>
      <c r="E14" s="17" t="s">
        <v>223</v>
      </c>
    </row>
    <row r="15" customFormat="false" ht="15" hidden="false" customHeight="true" outlineLevel="0" collapsed="false">
      <c r="A15" s="9" t="s">
        <v>219</v>
      </c>
      <c r="B15" s="10" t="s">
        <v>249</v>
      </c>
      <c r="C15" s="9" t="n">
        <v>2313</v>
      </c>
      <c r="D15" s="10" t="s">
        <v>250</v>
      </c>
      <c r="E15" s="17" t="s">
        <v>223</v>
      </c>
    </row>
    <row r="16" customFormat="false" ht="15" hidden="false" customHeight="true" outlineLevel="0" collapsed="false">
      <c r="A16" s="9" t="s">
        <v>251</v>
      </c>
      <c r="B16" s="10" t="s">
        <v>252</v>
      </c>
      <c r="C16" s="9" t="n">
        <v>654</v>
      </c>
      <c r="D16" s="10" t="s">
        <v>84</v>
      </c>
      <c r="E16" s="17" t="s">
        <v>223</v>
      </c>
    </row>
    <row r="17" customFormat="false" ht="15" hidden="false" customHeight="true" outlineLevel="0" collapsed="false">
      <c r="A17" s="9" t="s">
        <v>251</v>
      </c>
      <c r="B17" s="10" t="s">
        <v>253</v>
      </c>
      <c r="C17" s="9" t="n">
        <v>37</v>
      </c>
      <c r="D17" s="10" t="s">
        <v>86</v>
      </c>
      <c r="E17" s="17" t="s">
        <v>223</v>
      </c>
    </row>
    <row r="18" customFormat="false" ht="15" hidden="false" customHeight="true" outlineLevel="0" collapsed="false">
      <c r="A18" s="9" t="s">
        <v>251</v>
      </c>
      <c r="B18" s="10" t="s">
        <v>91</v>
      </c>
      <c r="C18" s="9" t="n">
        <v>1659</v>
      </c>
      <c r="D18" s="10" t="s">
        <v>254</v>
      </c>
      <c r="E18" s="17" t="s">
        <v>223</v>
      </c>
    </row>
    <row r="19" customFormat="false" ht="15" hidden="false" customHeight="true" outlineLevel="0" collapsed="false">
      <c r="A19" s="9" t="s">
        <v>251</v>
      </c>
      <c r="B19" s="10" t="s">
        <v>255</v>
      </c>
      <c r="C19" s="9" t="n">
        <v>704</v>
      </c>
      <c r="D19" s="10" t="s">
        <v>254</v>
      </c>
      <c r="E19" s="17" t="s">
        <v>223</v>
      </c>
    </row>
    <row r="20" customFormat="false" ht="15" hidden="false" customHeight="true" outlineLevel="0" collapsed="false">
      <c r="A20" s="9" t="s">
        <v>251</v>
      </c>
      <c r="B20" s="10" t="s">
        <v>256</v>
      </c>
      <c r="C20" s="9" t="n">
        <v>955</v>
      </c>
      <c r="D20" s="10" t="s">
        <v>257</v>
      </c>
      <c r="E20" s="17" t="s">
        <v>223</v>
      </c>
    </row>
    <row r="21" customFormat="false" ht="15" hidden="false" customHeight="true" outlineLevel="0" collapsed="false">
      <c r="A21" s="9" t="s">
        <v>251</v>
      </c>
      <c r="B21" s="10" t="s">
        <v>202</v>
      </c>
      <c r="C21" s="9" t="n">
        <v>949</v>
      </c>
      <c r="D21" s="10" t="s">
        <v>257</v>
      </c>
      <c r="E21" s="17" t="s">
        <v>223</v>
      </c>
    </row>
    <row r="22" customFormat="false" ht="15" hidden="false" customHeight="true" outlineLevel="0" collapsed="false">
      <c r="A22" s="9" t="s">
        <v>258</v>
      </c>
      <c r="B22" s="10" t="s">
        <v>259</v>
      </c>
      <c r="C22" s="9" t="n">
        <v>360</v>
      </c>
      <c r="D22" s="10" t="s">
        <v>257</v>
      </c>
      <c r="E22" s="17" t="s">
        <v>223</v>
      </c>
    </row>
    <row r="23" customFormat="false" ht="15" hidden="false" customHeight="true" outlineLevel="0" collapsed="false">
      <c r="A23" s="9" t="s">
        <v>258</v>
      </c>
      <c r="B23" s="10" t="s">
        <v>260</v>
      </c>
      <c r="C23" s="9" t="n">
        <v>273</v>
      </c>
      <c r="D23" s="10" t="s">
        <v>257</v>
      </c>
      <c r="E23" s="17" t="s">
        <v>223</v>
      </c>
    </row>
    <row r="24" customFormat="false" ht="15" hidden="false" customHeight="true" outlineLevel="0" collapsed="false">
      <c r="A24" s="9" t="s">
        <v>258</v>
      </c>
      <c r="B24" s="10" t="s">
        <v>261</v>
      </c>
      <c r="C24" s="9" t="n">
        <v>168</v>
      </c>
      <c r="D24" s="10" t="s">
        <v>257</v>
      </c>
      <c r="E24" s="17" t="s">
        <v>223</v>
      </c>
    </row>
    <row r="25" customFormat="false" ht="15" hidden="false" customHeight="true" outlineLevel="0" collapsed="false">
      <c r="A25" s="9" t="s">
        <v>258</v>
      </c>
      <c r="B25" s="10" t="s">
        <v>262</v>
      </c>
      <c r="C25" s="9" t="n">
        <v>136</v>
      </c>
      <c r="D25" s="10" t="s">
        <v>257</v>
      </c>
      <c r="E25" s="17" t="s">
        <v>223</v>
      </c>
    </row>
    <row r="26" customFormat="false" ht="15" hidden="false" customHeight="true" outlineLevel="0" collapsed="false">
      <c r="A26" s="9" t="s">
        <v>258</v>
      </c>
      <c r="B26" s="10" t="s">
        <v>263</v>
      </c>
      <c r="C26" s="9" t="n">
        <v>12</v>
      </c>
      <c r="D26" s="10" t="s">
        <v>257</v>
      </c>
      <c r="E26" s="17" t="s">
        <v>223</v>
      </c>
    </row>
    <row r="27" customFormat="false" ht="15" hidden="false" customHeight="true" outlineLevel="0" collapsed="false">
      <c r="A27" s="9" t="s">
        <v>251</v>
      </c>
      <c r="B27" s="10" t="s">
        <v>264</v>
      </c>
      <c r="C27" s="9" t="n">
        <v>6</v>
      </c>
      <c r="D27" s="10" t="s">
        <v>257</v>
      </c>
      <c r="E27" s="17" t="s">
        <v>223</v>
      </c>
    </row>
    <row r="28" customFormat="false" ht="15" hidden="false" customHeight="true" outlineLevel="0" collapsed="false">
      <c r="A28" s="9" t="s">
        <v>251</v>
      </c>
      <c r="B28" s="10" t="s">
        <v>265</v>
      </c>
      <c r="C28" s="9" t="n">
        <v>19</v>
      </c>
      <c r="D28" s="10" t="s">
        <v>266</v>
      </c>
      <c r="E28" s="17" t="s">
        <v>223</v>
      </c>
    </row>
    <row r="29" customFormat="false" ht="15" hidden="false" customHeight="true" outlineLevel="0" collapsed="false">
      <c r="A29" s="9" t="s">
        <v>219</v>
      </c>
      <c r="B29" s="10" t="s">
        <v>267</v>
      </c>
      <c r="C29" s="9" t="n">
        <v>25</v>
      </c>
      <c r="D29" s="10" t="s">
        <v>268</v>
      </c>
      <c r="E29" s="17"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3" min="3" style="1" width="15"/>
    <col collapsed="false" customWidth="true" hidden="false" outlineLevel="0" max="4" min="4" style="1" width="56"/>
    <col collapsed="false" customWidth="true" hidden="false" outlineLevel="0" max="5" min="5" style="1" width="38"/>
  </cols>
  <sheetData>
    <row r="1" customFormat="false" ht="15.75" hidden="false" customHeight="true" outlineLevel="0" collapsed="false">
      <c r="A1" s="6" t="s">
        <v>269</v>
      </c>
    </row>
    <row r="3" customFormat="false" ht="31.5" hidden="false" customHeight="true" outlineLevel="0" collapsed="false">
      <c r="A3" s="7" t="s">
        <v>270</v>
      </c>
      <c r="B3" s="7"/>
      <c r="C3" s="7"/>
      <c r="D3" s="7"/>
      <c r="E3" s="7"/>
    </row>
    <row r="5" customFormat="false" ht="30" hidden="false" customHeight="true" outlineLevel="0" collapsed="false">
      <c r="A5" s="8" t="s">
        <v>271</v>
      </c>
      <c r="B5" s="8" t="s">
        <v>272</v>
      </c>
      <c r="C5" s="8" t="s">
        <v>273</v>
      </c>
      <c r="D5" s="8" t="s">
        <v>274</v>
      </c>
      <c r="E5" s="8" t="s">
        <v>275</v>
      </c>
    </row>
    <row r="6" customFormat="false" ht="15" hidden="false" customHeight="true" outlineLevel="0" collapsed="false">
      <c r="A6" s="9" t="s">
        <v>276</v>
      </c>
      <c r="B6" s="9" t="s">
        <v>277</v>
      </c>
      <c r="C6" s="9" t="s">
        <v>278</v>
      </c>
      <c r="D6" s="10" t="s">
        <v>279</v>
      </c>
      <c r="E6" s="10" t="s">
        <v>277</v>
      </c>
    </row>
    <row r="7" customFormat="false" ht="21.75" hidden="false" customHeight="true" outlineLevel="0" collapsed="false">
      <c r="A7" s="9" t="s">
        <v>280</v>
      </c>
      <c r="B7" s="9" t="n">
        <v>2313</v>
      </c>
      <c r="C7" s="9" t="s">
        <v>281</v>
      </c>
      <c r="D7" s="10" t="s">
        <v>282</v>
      </c>
      <c r="E7" s="10" t="s">
        <v>283</v>
      </c>
    </row>
    <row r="8" customFormat="false" ht="15" hidden="false" customHeight="true" outlineLevel="0" collapsed="false">
      <c r="A8" s="9" t="s">
        <v>284</v>
      </c>
      <c r="B8" s="9" t="n">
        <v>2313</v>
      </c>
      <c r="C8" s="9" t="s">
        <v>281</v>
      </c>
      <c r="D8" s="10" t="s">
        <v>285</v>
      </c>
      <c r="E8" s="10" t="s">
        <v>286</v>
      </c>
    </row>
    <row r="9" customFormat="false" ht="15" hidden="false" customHeight="true" outlineLevel="0" collapsed="false">
      <c r="A9" s="9" t="s">
        <v>287</v>
      </c>
      <c r="B9" s="9" t="n">
        <v>654</v>
      </c>
      <c r="C9" s="9" t="s">
        <v>281</v>
      </c>
      <c r="D9" s="10" t="s">
        <v>288</v>
      </c>
      <c r="E9" s="10" t="s">
        <v>289</v>
      </c>
    </row>
    <row r="10" customFormat="false" ht="15" hidden="false" customHeight="true" outlineLevel="0" collapsed="false">
      <c r="A10" s="9" t="s">
        <v>290</v>
      </c>
      <c r="B10" s="9" t="n">
        <v>37</v>
      </c>
      <c r="C10" s="9" t="s">
        <v>281</v>
      </c>
      <c r="D10" s="10" t="s">
        <v>291</v>
      </c>
      <c r="E10" s="10" t="s">
        <v>292</v>
      </c>
    </row>
    <row r="11" customFormat="false" ht="15" hidden="false" customHeight="true" outlineLevel="0" collapsed="false">
      <c r="A11" s="9" t="s">
        <v>293</v>
      </c>
      <c r="B11" s="9" t="n">
        <v>1659</v>
      </c>
      <c r="C11" s="9" t="s">
        <v>294</v>
      </c>
      <c r="D11" s="10" t="s">
        <v>295</v>
      </c>
      <c r="E11" s="10" t="s">
        <v>296</v>
      </c>
    </row>
    <row r="12" customFormat="false" ht="21.75" hidden="false" customHeight="true" outlineLevel="0" collapsed="false">
      <c r="A12" s="9" t="s">
        <v>297</v>
      </c>
      <c r="B12" s="9" t="n">
        <v>1659</v>
      </c>
      <c r="C12" s="9" t="s">
        <v>294</v>
      </c>
      <c r="D12" s="10" t="s">
        <v>298</v>
      </c>
      <c r="E12" s="10" t="s">
        <v>299</v>
      </c>
    </row>
    <row r="13" customFormat="false" ht="15" hidden="false" customHeight="true" outlineLevel="0" collapsed="false">
      <c r="A13" s="9" t="s">
        <v>300</v>
      </c>
      <c r="B13" s="9" t="n">
        <v>955</v>
      </c>
      <c r="C13" s="9" t="s">
        <v>301</v>
      </c>
      <c r="D13" s="10" t="s">
        <v>302</v>
      </c>
      <c r="E13" s="10" t="s">
        <v>303</v>
      </c>
    </row>
    <row r="15" customFormat="false" ht="15" hidden="false" customHeight="true" outlineLevel="0" collapsed="false">
      <c r="A15" s="13" t="s">
        <v>304</v>
      </c>
    </row>
    <row r="16" customFormat="false" ht="15" hidden="false" customHeight="true" outlineLevel="0" collapsed="false">
      <c r="A16" s="18" t="s">
        <v>305</v>
      </c>
      <c r="B16" s="18"/>
      <c r="C16" s="18"/>
      <c r="D16" s="19" t="s">
        <v>306</v>
      </c>
      <c r="E16" s="17" t="s">
        <v>307</v>
      </c>
    </row>
    <row r="17" customFormat="false" ht="15" hidden="false" customHeight="true" outlineLevel="0" collapsed="false">
      <c r="A17" s="18" t="s">
        <v>308</v>
      </c>
      <c r="B17" s="18"/>
      <c r="C17" s="18"/>
      <c r="D17" s="19" t="s">
        <v>309</v>
      </c>
      <c r="E17" s="17" t="s">
        <v>307</v>
      </c>
    </row>
    <row r="18" customFormat="false" ht="15" hidden="false" customHeight="true" outlineLevel="0" collapsed="false">
      <c r="A18" s="18" t="s">
        <v>310</v>
      </c>
      <c r="B18" s="18"/>
      <c r="C18" s="18"/>
      <c r="D18" s="19" t="s">
        <v>311</v>
      </c>
      <c r="E18" s="17" t="s">
        <v>307</v>
      </c>
    </row>
    <row r="19" customFormat="false" ht="15" hidden="false" customHeight="true" outlineLevel="0" collapsed="false">
      <c r="A19" s="18" t="s">
        <v>312</v>
      </c>
      <c r="B19" s="18"/>
      <c r="C19" s="18"/>
      <c r="D19" s="19" t="s">
        <v>313</v>
      </c>
      <c r="E19" s="17" t="s">
        <v>307</v>
      </c>
    </row>
    <row r="20" customFormat="false" ht="15" hidden="false" customHeight="true" outlineLevel="0" collapsed="false">
      <c r="A20" s="18" t="s">
        <v>314</v>
      </c>
      <c r="B20" s="18"/>
      <c r="C20" s="18"/>
      <c r="D20" s="19" t="s">
        <v>315</v>
      </c>
      <c r="E20" s="17" t="s">
        <v>307</v>
      </c>
    </row>
    <row r="22" customFormat="false" ht="15" hidden="false" customHeight="true" outlineLevel="0" collapsed="false">
      <c r="A22" s="5" t="s">
        <v>316</v>
      </c>
    </row>
    <row r="23" customFormat="false" ht="15" hidden="false" customHeight="true" outlineLevel="0" collapsed="false">
      <c r="A23" s="7" t="s">
        <v>317</v>
      </c>
      <c r="B23" s="7"/>
      <c r="C23" s="7"/>
      <c r="D23" s="7"/>
      <c r="E23" s="7"/>
    </row>
    <row r="24" customFormat="false" ht="15" hidden="false" customHeight="true" outlineLevel="0" collapsed="false">
      <c r="A24" s="7"/>
      <c r="B24" s="7"/>
      <c r="C24" s="7"/>
      <c r="D24" s="7"/>
      <c r="E24" s="7"/>
    </row>
  </sheetData>
  <mergeCells count="7">
    <mergeCell ref="A3:E3"/>
    <mergeCell ref="A16:C16"/>
    <mergeCell ref="A17:C17"/>
    <mergeCell ref="A18:C18"/>
    <mergeCell ref="A19:C19"/>
    <mergeCell ref="A20:C20"/>
    <mergeCell ref="A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2026-08-22T01:51:20Z</dcterms:created>
  <dc:creator>openpyxl</dc:creator>
  <dc:description/>
  <dc:language>en-US</dc:language>
  <cp:lastModifiedBy/>
  <dcterms:modified xsi:type="dcterms:W3CDTF">2026-08-25T10:05:06Z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